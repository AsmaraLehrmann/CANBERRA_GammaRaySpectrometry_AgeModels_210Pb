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210Pb_thismachine\"/>
    </mc:Choice>
  </mc:AlternateContent>
  <xr:revisionPtr revIDLastSave="0" documentId="8_{9985E541-558B-427A-AD7D-48C4B1FF850E}" xr6:coauthVersionLast="47" xr6:coauthVersionMax="47" xr10:uidLastSave="{00000000-0000-0000-0000-000000000000}"/>
  <bookViews>
    <workbookView xWindow="34530" yWindow="0" windowWidth="23325" windowHeight="15585" tabRatio="711" activeTab="2" xr2:uid="{00000000-000D-0000-FFFF-FFFF00000000}"/>
  </bookViews>
  <sheets>
    <sheet name="Core Details" sheetId="7" r:id="rId1"/>
    <sheet name="Sample Weight Measurements" sheetId="14" r:id="rId2"/>
    <sheet name="Point source runs" sheetId="3" r:id="rId3"/>
    <sheet name="Self absorption correction" sheetId="2" r:id="rId4"/>
    <sheet name="Excess Pb-210" sheetId="1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E14" i="3"/>
  <c r="M3" i="14"/>
  <c r="F3" i="1" s="1"/>
  <c r="M11" i="14"/>
  <c r="F11" i="1" s="1"/>
  <c r="M15" i="14"/>
  <c r="F15" i="1" s="1"/>
  <c r="F4" i="1"/>
  <c r="F5" i="1"/>
  <c r="F6" i="1"/>
  <c r="F7" i="1"/>
  <c r="F8" i="1"/>
  <c r="F9" i="1"/>
  <c r="F10" i="1"/>
  <c r="F12" i="1"/>
  <c r="F13" i="1"/>
  <c r="F14" i="1"/>
  <c r="F16" i="1"/>
  <c r="F17" i="1"/>
  <c r="F18" i="1"/>
  <c r="F19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3" i="14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B17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6" i="2"/>
  <c r="B17" i="2"/>
  <c r="M4" i="14"/>
  <c r="M5" i="14"/>
  <c r="M6" i="14"/>
  <c r="M7" i="14"/>
  <c r="M8" i="14"/>
  <c r="M9" i="14"/>
  <c r="M10" i="14"/>
  <c r="M12" i="14"/>
  <c r="M13" i="14"/>
  <c r="M14" i="14"/>
  <c r="M16" i="14"/>
  <c r="M17" i="14"/>
  <c r="M18" i="14"/>
  <c r="M19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3" i="14"/>
  <c r="H4" i="14"/>
  <c r="H5" i="14"/>
  <c r="H6" i="14"/>
  <c r="H7" i="14"/>
  <c r="H8" i="14"/>
  <c r="H9" i="14"/>
  <c r="H10" i="14"/>
  <c r="H11" i="14"/>
  <c r="H12" i="14"/>
  <c r="H13" i="14"/>
  <c r="J13" i="14" s="1"/>
  <c r="H14" i="14"/>
  <c r="H15" i="14"/>
  <c r="H16" i="14"/>
  <c r="H17" i="14"/>
  <c r="H18" i="14"/>
  <c r="H19" i="14"/>
  <c r="H3" i="14"/>
  <c r="J5" i="14" l="1"/>
  <c r="J17" i="14"/>
  <c r="J9" i="14"/>
  <c r="S17" i="1"/>
  <c r="P17" i="1"/>
  <c r="V17" i="1"/>
  <c r="J17" i="1"/>
  <c r="K17" i="1"/>
  <c r="J14" i="14"/>
  <c r="J6" i="14"/>
  <c r="J19" i="14"/>
  <c r="J11" i="14"/>
  <c r="J3" i="14"/>
  <c r="J12" i="14"/>
  <c r="J4" i="14"/>
  <c r="J18" i="14"/>
  <c r="J10" i="14"/>
  <c r="J15" i="14"/>
  <c r="J7" i="14"/>
  <c r="J16" i="14"/>
  <c r="J8" i="14"/>
  <c r="D17" i="2"/>
  <c r="U17" i="1" l="1"/>
  <c r="B18" i="1"/>
  <c r="S18" i="1"/>
  <c r="J18" i="1"/>
  <c r="P18" i="1"/>
  <c r="V18" i="1"/>
  <c r="U18" i="1" l="1"/>
  <c r="K18" i="1"/>
  <c r="V32" i="1" l="1"/>
  <c r="V33" i="1" s="1"/>
  <c r="V34" i="1" s="1"/>
  <c r="J4" i="1" l="1"/>
  <c r="J5" i="1"/>
  <c r="J7" i="1"/>
  <c r="J9" i="1"/>
  <c r="J10" i="1"/>
  <c r="J11" i="1"/>
  <c r="J12" i="1"/>
  <c r="J13" i="1"/>
  <c r="J14" i="1"/>
  <c r="J15" i="1"/>
  <c r="J19" i="1"/>
  <c r="J6" i="1"/>
  <c r="J8" i="1"/>
  <c r="J16" i="1"/>
  <c r="T30" i="1" l="1"/>
  <c r="T31" i="1"/>
  <c r="T32" i="1"/>
  <c r="T33" i="1"/>
  <c r="T34" i="1"/>
  <c r="T35" i="1"/>
  <c r="T29" i="1"/>
  <c r="R30" i="1"/>
  <c r="R31" i="1" s="1"/>
  <c r="R32" i="1" s="1"/>
  <c r="R33" i="1" s="1"/>
  <c r="R34" i="1" s="1"/>
  <c r="R35" i="1" s="1"/>
  <c r="V9" i="1"/>
  <c r="V12" i="1"/>
  <c r="S12" i="1"/>
  <c r="S13" i="1"/>
  <c r="S16" i="1"/>
  <c r="P12" i="1"/>
  <c r="P15" i="1"/>
  <c r="K10" i="1"/>
  <c r="K12" i="1"/>
  <c r="K14" i="1"/>
  <c r="K19" i="1"/>
  <c r="S9" i="1"/>
  <c r="V10" i="1"/>
  <c r="P13" i="1"/>
  <c r="S14" i="1"/>
  <c r="P16" i="1"/>
  <c r="V19" i="1"/>
  <c r="B8" i="1"/>
  <c r="B9" i="1"/>
  <c r="B10" i="1"/>
  <c r="B11" i="1"/>
  <c r="B12" i="1"/>
  <c r="B13" i="1"/>
  <c r="B14" i="1"/>
  <c r="B15" i="1"/>
  <c r="B16" i="1"/>
  <c r="B19" i="1"/>
  <c r="B11" i="2"/>
  <c r="B12" i="2"/>
  <c r="B13" i="2"/>
  <c r="B14" i="2"/>
  <c r="B15" i="2"/>
  <c r="B18" i="2"/>
  <c r="B19" i="2"/>
  <c r="D19" i="2" l="1"/>
  <c r="D16" i="2"/>
  <c r="D14" i="2"/>
  <c r="D12" i="2"/>
  <c r="D10" i="2"/>
  <c r="D8" i="2"/>
  <c r="D6" i="2"/>
  <c r="D4" i="2"/>
  <c r="D18" i="2"/>
  <c r="D15" i="2"/>
  <c r="D13" i="2"/>
  <c r="D11" i="2"/>
  <c r="D9" i="2"/>
  <c r="D7" i="2"/>
  <c r="D5" i="2"/>
  <c r="U13" i="1"/>
  <c r="U16" i="1"/>
  <c r="U12" i="1"/>
  <c r="V14" i="1"/>
  <c r="K13" i="1"/>
  <c r="P19" i="1"/>
  <c r="P10" i="1"/>
  <c r="S11" i="1"/>
  <c r="S19" i="1"/>
  <c r="S10" i="1"/>
  <c r="V16" i="1"/>
  <c r="V13" i="1"/>
  <c r="P11" i="1"/>
  <c r="K16" i="1"/>
  <c r="K15" i="1"/>
  <c r="K11" i="1"/>
  <c r="P14" i="1"/>
  <c r="U14" i="1" s="1"/>
  <c r="S15" i="1"/>
  <c r="U15" i="1" s="1"/>
  <c r="V15" i="1"/>
  <c r="V11" i="1"/>
  <c r="U10" i="1" l="1"/>
  <c r="U19" i="1"/>
  <c r="U11" i="1"/>
  <c r="D3" i="2" l="1"/>
  <c r="B8" i="2"/>
  <c r="B9" i="2"/>
  <c r="B10" i="2"/>
  <c r="C3" i="2"/>
  <c r="P9" i="1" l="1"/>
  <c r="U9" i="1" s="1"/>
  <c r="K9" i="1"/>
  <c r="V3" i="1"/>
  <c r="V6" i="1" l="1"/>
  <c r="P6" i="1"/>
  <c r="S6" i="1"/>
  <c r="V5" i="1"/>
  <c r="S5" i="1"/>
  <c r="P5" i="1"/>
  <c r="S4" i="1"/>
  <c r="V4" i="1"/>
  <c r="P4" i="1"/>
  <c r="P7" i="1"/>
  <c r="S7" i="1"/>
  <c r="V7" i="1"/>
  <c r="K7" i="1"/>
  <c r="S8" i="1"/>
  <c r="P8" i="1"/>
  <c r="V8" i="1"/>
  <c r="K8" i="1"/>
  <c r="B4" i="2"/>
  <c r="B5" i="2"/>
  <c r="B6" i="2"/>
  <c r="B7" i="2"/>
  <c r="B3" i="2"/>
  <c r="U8" i="1" l="1"/>
  <c r="U5" i="1"/>
  <c r="U6" i="1"/>
  <c r="U7" i="1"/>
  <c r="U4" i="1"/>
  <c r="B5" i="1"/>
  <c r="B6" i="1"/>
  <c r="B4" i="1"/>
  <c r="B7" i="1"/>
  <c r="K6" i="1" l="1"/>
  <c r="K5" i="1"/>
  <c r="K4" i="1"/>
  <c r="D3" i="1"/>
  <c r="B3" i="1"/>
  <c r="K3" i="1" l="1"/>
  <c r="S3" i="1" l="1"/>
  <c r="J3" i="1"/>
  <c r="P3" i="1" l="1"/>
  <c r="U3" i="1" s="1"/>
  <c r="G3" i="2" l="1"/>
  <c r="G4" i="2" l="1"/>
  <c r="J3" i="2"/>
  <c r="K3" i="2" l="1"/>
  <c r="L3" i="1"/>
  <c r="G5" i="2"/>
  <c r="J4" i="2"/>
  <c r="K4" i="2" l="1"/>
  <c r="L4" i="1"/>
  <c r="G6" i="2"/>
  <c r="J5" i="2"/>
  <c r="N3" i="1"/>
  <c r="W3" i="1" s="1"/>
  <c r="M3" i="1"/>
  <c r="AI3" i="1" l="1"/>
  <c r="AJ3" i="1"/>
  <c r="AG3" i="1"/>
  <c r="AH3" i="1"/>
  <c r="Y3" i="1"/>
  <c r="K5" i="2"/>
  <c r="L5" i="1"/>
  <c r="G7" i="2"/>
  <c r="J6" i="2"/>
  <c r="M4" i="1"/>
  <c r="N4" i="1"/>
  <c r="W4" i="1" s="1"/>
  <c r="AJ4" i="1" l="1"/>
  <c r="AH4" i="1"/>
  <c r="K6" i="2"/>
  <c r="L6" i="1"/>
  <c r="G8" i="2"/>
  <c r="J7" i="2"/>
  <c r="M5" i="1"/>
  <c r="N5" i="1"/>
  <c r="W5" i="1" s="1"/>
  <c r="Z3" i="1"/>
  <c r="AA3" i="1" s="1"/>
  <c r="Y4" i="1"/>
  <c r="AG4" i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K3" i="1"/>
  <c r="AI4" i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L3" i="1"/>
  <c r="AM3" i="1" l="1"/>
  <c r="Z4" i="1"/>
  <c r="AA4" i="1" s="1"/>
  <c r="Y5" i="1"/>
  <c r="AN3" i="1"/>
  <c r="AH5" i="1"/>
  <c r="AK5" i="1" s="1"/>
  <c r="AJ5" i="1"/>
  <c r="AL5" i="1" s="1"/>
  <c r="K7" i="2"/>
  <c r="L7" i="1"/>
  <c r="G9" i="2"/>
  <c r="J8" i="2"/>
  <c r="M6" i="1"/>
  <c r="N6" i="1"/>
  <c r="W6" i="1" s="1"/>
  <c r="AK4" i="1"/>
  <c r="AM4" i="1" s="1"/>
  <c r="AL4" i="1"/>
  <c r="AJ6" i="1" l="1"/>
  <c r="AL6" i="1" s="1"/>
  <c r="AH6" i="1"/>
  <c r="AK6" i="1" s="1"/>
  <c r="K8" i="2"/>
  <c r="L8" i="1"/>
  <c r="G10" i="2"/>
  <c r="J9" i="2"/>
  <c r="M7" i="1"/>
  <c r="N7" i="1"/>
  <c r="W7" i="1" s="1"/>
  <c r="Z5" i="1"/>
  <c r="AA5" i="1" s="1"/>
  <c r="Y6" i="1"/>
  <c r="AN4" i="1"/>
  <c r="Z6" i="1" l="1"/>
  <c r="AA6" i="1" s="1"/>
  <c r="Y7" i="1"/>
  <c r="AM5" i="1"/>
  <c r="AN5" i="1"/>
  <c r="AJ7" i="1"/>
  <c r="AL7" i="1" s="1"/>
  <c r="AH7" i="1"/>
  <c r="AK7" i="1" s="1"/>
  <c r="L9" i="1"/>
  <c r="K9" i="2"/>
  <c r="G11" i="2"/>
  <c r="J10" i="2"/>
  <c r="M8" i="1"/>
  <c r="N8" i="1"/>
  <c r="W8" i="1" s="1"/>
  <c r="AJ8" i="1" l="1"/>
  <c r="AL8" i="1" s="1"/>
  <c r="AH8" i="1"/>
  <c r="AK8" i="1" s="1"/>
  <c r="K10" i="2"/>
  <c r="L10" i="1"/>
  <c r="G12" i="2"/>
  <c r="J11" i="2"/>
  <c r="N9" i="1"/>
  <c r="W9" i="1" s="1"/>
  <c r="M9" i="1"/>
  <c r="Y8" i="1"/>
  <c r="Z7" i="1"/>
  <c r="AA7" i="1" s="1"/>
  <c r="AM6" i="1"/>
  <c r="AN6" i="1"/>
  <c r="AJ9" i="1" l="1"/>
  <c r="AL9" i="1" s="1"/>
  <c r="AH9" i="1"/>
  <c r="AK9" i="1" s="1"/>
  <c r="AN7" i="1"/>
  <c r="AM7" i="1"/>
  <c r="Y9" i="1"/>
  <c r="Z8" i="1"/>
  <c r="AA8" i="1" s="1"/>
  <c r="L11" i="1"/>
  <c r="K11" i="2"/>
  <c r="G13" i="2"/>
  <c r="J12" i="2"/>
  <c r="M10" i="1"/>
  <c r="N10" i="1"/>
  <c r="W10" i="1" s="1"/>
  <c r="K12" i="2" l="1"/>
  <c r="L12" i="1"/>
  <c r="M11" i="1"/>
  <c r="N11" i="1"/>
  <c r="W11" i="1" s="1"/>
  <c r="AN8" i="1"/>
  <c r="AM8" i="1"/>
  <c r="Y10" i="1"/>
  <c r="Z9" i="1"/>
  <c r="AA9" i="1" s="1"/>
  <c r="AH10" i="1"/>
  <c r="AK10" i="1" s="1"/>
  <c r="AJ10" i="1"/>
  <c r="AL10" i="1" s="1"/>
  <c r="G14" i="2"/>
  <c r="J13" i="2"/>
  <c r="AM9" i="1" l="1"/>
  <c r="AN9" i="1"/>
  <c r="Y11" i="1"/>
  <c r="Z10" i="1"/>
  <c r="AA10" i="1" s="1"/>
  <c r="AH11" i="1"/>
  <c r="AK11" i="1" s="1"/>
  <c r="AJ11" i="1"/>
  <c r="AL11" i="1" s="1"/>
  <c r="M12" i="1"/>
  <c r="N12" i="1"/>
  <c r="W12" i="1" s="1"/>
  <c r="K13" i="2"/>
  <c r="L13" i="1"/>
  <c r="G15" i="2"/>
  <c r="J14" i="2"/>
  <c r="AH12" i="1" l="1"/>
  <c r="AK12" i="1" s="1"/>
  <c r="AJ12" i="1"/>
  <c r="AL12" i="1" s="1"/>
  <c r="AN10" i="1"/>
  <c r="AM10" i="1"/>
  <c r="Z11" i="1"/>
  <c r="AA11" i="1" s="1"/>
  <c r="Y12" i="1"/>
  <c r="L14" i="1"/>
  <c r="K14" i="2"/>
  <c r="G16" i="2"/>
  <c r="J15" i="2"/>
  <c r="M13" i="1"/>
  <c r="N13" i="1"/>
  <c r="W13" i="1" s="1"/>
  <c r="AJ13" i="1" l="1"/>
  <c r="AL13" i="1" s="1"/>
  <c r="AH13" i="1"/>
  <c r="AK13" i="1" s="1"/>
  <c r="K15" i="2"/>
  <c r="L15" i="1"/>
  <c r="G17" i="2"/>
  <c r="J16" i="2"/>
  <c r="M14" i="1"/>
  <c r="N14" i="1"/>
  <c r="W14" i="1" s="1"/>
  <c r="Y13" i="1"/>
  <c r="Z12" i="1"/>
  <c r="AA12" i="1" s="1"/>
  <c r="AM11" i="1"/>
  <c r="AN11" i="1"/>
  <c r="AN12" i="1" l="1"/>
  <c r="AM12" i="1"/>
  <c r="Y14" i="1"/>
  <c r="Z13" i="1"/>
  <c r="AA13" i="1" s="1"/>
  <c r="AJ14" i="1"/>
  <c r="AL14" i="1" s="1"/>
  <c r="AH14" i="1"/>
  <c r="AK14" i="1" s="1"/>
  <c r="K16" i="2"/>
  <c r="L16" i="1"/>
  <c r="G18" i="2"/>
  <c r="J17" i="2"/>
  <c r="M15" i="1"/>
  <c r="N15" i="1"/>
  <c r="W15" i="1" s="1"/>
  <c r="AJ15" i="1" l="1"/>
  <c r="AL15" i="1" s="1"/>
  <c r="AH15" i="1"/>
  <c r="AK15" i="1" s="1"/>
  <c r="K17" i="2"/>
  <c r="L17" i="1"/>
  <c r="G19" i="2"/>
  <c r="J19" i="2" s="1"/>
  <c r="J18" i="2"/>
  <c r="M16" i="1"/>
  <c r="N16" i="1"/>
  <c r="W16" i="1" s="1"/>
  <c r="AN13" i="1"/>
  <c r="AM13" i="1"/>
  <c r="Y15" i="1"/>
  <c r="Z14" i="1"/>
  <c r="AA14" i="1" s="1"/>
  <c r="AM14" i="1" l="1"/>
  <c r="AN14" i="1"/>
  <c r="Y16" i="1"/>
  <c r="Z15" i="1"/>
  <c r="AA15" i="1" s="1"/>
  <c r="AH16" i="1"/>
  <c r="AK16" i="1" s="1"/>
  <c r="AJ16" i="1"/>
  <c r="AL16" i="1" s="1"/>
  <c r="L18" i="1"/>
  <c r="K18" i="2"/>
  <c r="L19" i="1"/>
  <c r="K19" i="2"/>
  <c r="M17" i="1"/>
  <c r="N17" i="1"/>
  <c r="W17" i="1" s="1"/>
  <c r="AH17" i="1" l="1"/>
  <c r="AK17" i="1" s="1"/>
  <c r="AJ17" i="1"/>
  <c r="AL17" i="1" s="1"/>
  <c r="M19" i="1"/>
  <c r="N19" i="1"/>
  <c r="W19" i="1" s="1"/>
  <c r="M18" i="1"/>
  <c r="N18" i="1"/>
  <c r="W18" i="1" s="1"/>
  <c r="AM15" i="1"/>
  <c r="AN15" i="1"/>
  <c r="Y17" i="1"/>
  <c r="Z17" i="1" s="1"/>
  <c r="AA17" i="1" s="1"/>
  <c r="Y18" i="1"/>
  <c r="Z16" i="1"/>
  <c r="AA16" i="1" s="1"/>
  <c r="AN17" i="1" l="1"/>
  <c r="AM16" i="1"/>
  <c r="AN16" i="1"/>
  <c r="Z18" i="1"/>
  <c r="AA18" i="1" s="1"/>
  <c r="Y19" i="1"/>
  <c r="Z19" i="1" s="1"/>
  <c r="AA19" i="1" s="1"/>
  <c r="AJ18" i="1"/>
  <c r="AL18" i="1" s="1"/>
  <c r="AH18" i="1"/>
  <c r="AK18" i="1" s="1"/>
  <c r="AM18" i="1" s="1"/>
  <c r="AJ19" i="1"/>
  <c r="AL19" i="1" s="1"/>
  <c r="AH19" i="1"/>
  <c r="AK19" i="1" s="1"/>
  <c r="AM19" i="1" s="1"/>
  <c r="AM17" i="1"/>
  <c r="AN19" i="1" l="1"/>
  <c r="AN18" i="1"/>
</calcChain>
</file>

<file path=xl/sharedStrings.xml><?xml version="1.0" encoding="utf-8"?>
<sst xmlns="http://schemas.openxmlformats.org/spreadsheetml/2006/main" count="374" uniqueCount="99">
  <si>
    <t>Sampl Information</t>
  </si>
  <si>
    <t>Cruise</t>
  </si>
  <si>
    <t>Core</t>
  </si>
  <si>
    <t>Date Collected</t>
  </si>
  <si>
    <t>Depth Interval (cm)</t>
  </si>
  <si>
    <t>Pb-210 uncorrected</t>
  </si>
  <si>
    <t>Pb-210 correction factor</t>
  </si>
  <si>
    <t>Self Absorbtion Correction</t>
  </si>
  <si>
    <t>Runtime (hrs)</t>
  </si>
  <si>
    <t>Pb-210 activity (Bq/unit)</t>
  </si>
  <si>
    <t>Pb-210 activity Uncertainty (Bq-unit)</t>
  </si>
  <si>
    <t>Pb-210 activity (Bq/unit) / correction factor</t>
  </si>
  <si>
    <t>Self absorb. Corrected Pb-210 activity  (Bq/g)</t>
  </si>
  <si>
    <t>Supported (background) activity</t>
  </si>
  <si>
    <t>Pb-214 activity (Bq/unit)</t>
  </si>
  <si>
    <t>Pb-214 activity (Bq/g)</t>
  </si>
  <si>
    <t>Averaged supported activity of Bi-214 and Pb-214 (Bq/g)</t>
  </si>
  <si>
    <t>Excess Pb-210 (Bq/g)</t>
  </si>
  <si>
    <t xml:space="preserve">Unsupported activity </t>
  </si>
  <si>
    <t>Bi-214 activity (Bq/unit)</t>
  </si>
  <si>
    <t>Bi-214 activity  (Bq/g)</t>
  </si>
  <si>
    <t>Sediment mass (g)</t>
  </si>
  <si>
    <t>Sample Info</t>
  </si>
  <si>
    <t>Runtime with point source (s)</t>
  </si>
  <si>
    <t>Sediment +point source Pb-210 actvity</t>
  </si>
  <si>
    <t>Sediment +Point source activity uncertainty</t>
  </si>
  <si>
    <t>% detector is measuring</t>
  </si>
  <si>
    <t>Cruise Number</t>
  </si>
  <si>
    <t>Research Vessel</t>
  </si>
  <si>
    <t>Sediment Description</t>
  </si>
  <si>
    <t>Munsell Color Description</t>
  </si>
  <si>
    <t>Water depth (m)</t>
  </si>
  <si>
    <t>Region</t>
  </si>
  <si>
    <t>Year</t>
  </si>
  <si>
    <t>Core site location</t>
  </si>
  <si>
    <t>Core name</t>
  </si>
  <si>
    <t>Sample</t>
  </si>
  <si>
    <t>Run #</t>
  </si>
  <si>
    <t>Measured Pb-210 Activity (Bq/unit)</t>
  </si>
  <si>
    <t>Date</t>
  </si>
  <si>
    <t>Point source Pb-210 activity</t>
  </si>
  <si>
    <t>Measured Pb-210 Uncertainty (Bq/uit)</t>
  </si>
  <si>
    <t>Point source on top of empty petri dish with lid on</t>
  </si>
  <si>
    <t>average uncertainty</t>
  </si>
  <si>
    <t>(Bq/unit)</t>
  </si>
  <si>
    <t>NBP1902</t>
  </si>
  <si>
    <t>Date collected</t>
  </si>
  <si>
    <t>Event Number</t>
  </si>
  <si>
    <t>Total core length (m)</t>
  </si>
  <si>
    <t>Continuous sampling 2cm intervals</t>
  </si>
  <si>
    <r>
      <t>Sampling intervals ending in 0's or 5's (e.g. 6</t>
    </r>
    <r>
      <rPr>
        <b/>
        <sz val="11"/>
        <color rgb="FFFF0000"/>
        <rFont val="Arial"/>
        <family val="2"/>
      </rPr>
      <t>5</t>
    </r>
    <r>
      <rPr>
        <b/>
        <sz val="11"/>
        <color theme="1"/>
        <rFont val="Arial"/>
        <family val="2"/>
      </rPr>
      <t>-67, 7</t>
    </r>
    <r>
      <rPr>
        <b/>
        <sz val="11"/>
        <color rgb="FFFF0000"/>
        <rFont val="Arial"/>
        <family val="2"/>
      </rPr>
      <t>0</t>
    </r>
    <r>
      <rPr>
        <b/>
        <sz val="11"/>
        <color theme="1"/>
        <rFont val="Arial"/>
        <family val="2"/>
      </rPr>
      <t>-72)</t>
    </r>
  </si>
  <si>
    <t>Base of barrel sample</t>
  </si>
  <si>
    <t>Depth for model (cm)</t>
  </si>
  <si>
    <t>Base of interval (cm)</t>
  </si>
  <si>
    <t>Top of interval (cm)</t>
  </si>
  <si>
    <t>Water content</t>
  </si>
  <si>
    <t>Prepped sample weight</t>
  </si>
  <si>
    <t>Top of 2 cm sample interval</t>
  </si>
  <si>
    <t>% not measured</t>
  </si>
  <si>
    <t>Notes</t>
  </si>
  <si>
    <t>Pb-210 activity (Bq/g)</t>
  </si>
  <si>
    <t>Latitude (deg/min) S</t>
  </si>
  <si>
    <t>Longitude (deg/min) W</t>
  </si>
  <si>
    <t>Water content (g)</t>
  </si>
  <si>
    <t>Water content %</t>
  </si>
  <si>
    <t>Petri dish+label weight (g)</t>
  </si>
  <si>
    <t>Petri dish+dry sed (g)</t>
  </si>
  <si>
    <t>Dry sed weight in dish (g)</t>
  </si>
  <si>
    <t>Consistency</t>
  </si>
  <si>
    <t>Center point of interval</t>
  </si>
  <si>
    <t>Bi-214 activity uncertainty (Bq/unit)</t>
  </si>
  <si>
    <t>Pb-214 activity uncertainty (Bq/unit)</t>
  </si>
  <si>
    <t xml:space="preserve">Average Point Source Activity </t>
  </si>
  <si>
    <t>Date  pointsource correction run</t>
  </si>
  <si>
    <t>Pb-210 activity Uncertainty (Bq-g)</t>
  </si>
  <si>
    <t>Aluminum tin weight (g)</t>
  </si>
  <si>
    <t>Wet sed+tin weight (g)</t>
  </si>
  <si>
    <t>Dry sed+tin weight (g)</t>
  </si>
  <si>
    <t>Dry sed weight (g)</t>
  </si>
  <si>
    <t>Background activity uncertainty (Bq/g)</t>
  </si>
  <si>
    <t>y</t>
  </si>
  <si>
    <t>CIC model - monotonic decline</t>
  </si>
  <si>
    <t>surface activity</t>
  </si>
  <si>
    <t>age</t>
  </si>
  <si>
    <t>calendar years pre 2019</t>
  </si>
  <si>
    <t>TOP Excess + Uncertainty (Bq/g)</t>
  </si>
  <si>
    <t>Excess + Uncertainty (Bq/g)</t>
  </si>
  <si>
    <t>TOP Excess - Uncertainty (Bq/g)</t>
  </si>
  <si>
    <t>Excess - Uncertainty (Bq/g)</t>
  </si>
  <si>
    <t>Upper age</t>
  </si>
  <si>
    <t>Lower Age</t>
  </si>
  <si>
    <t>upper error bar</t>
  </si>
  <si>
    <t>Lower error bar</t>
  </si>
  <si>
    <t>XXXX</t>
  </si>
  <si>
    <t>XXXX (Ex: Pine Island Calving Margin)</t>
  </si>
  <si>
    <t>X</t>
  </si>
  <si>
    <t>XXXX (Ex: Amundsen Sea)</t>
  </si>
  <si>
    <t>XXXX (Ex: RV/IB Nathaniel B. Palmer)</t>
  </si>
  <si>
    <t>XXXX (Ex: NBP2002)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</si>
</sst>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7F7F7F"/>
      <name val="Calibri"/>
      <family val="2"/>
      <scheme val="minor"/>
    </font>
    <font>
      <sz val="14"/>
      <color rgb="FF44546A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4" borderId="0" applyNumberFormat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2" fontId="0" fillId="0" borderId="0" xfId="0" applyNumberFormat="1"/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0" fontId="1" fillId="0" borderId="0" xfId="0" applyFont="1"/>
    <xf numFmtId="0" fontId="7" fillId="0" borderId="0" xfId="0" applyFont="1"/>
    <xf numFmtId="2" fontId="0" fillId="0" borderId="0" xfId="0" applyNumberFormat="1" applyAlignment="1">
      <alignment horizontal="center"/>
    </xf>
    <xf numFmtId="15" fontId="4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8" fillId="0" borderId="0" xfId="0" applyFont="1"/>
    <xf numFmtId="0" fontId="1" fillId="0" borderId="0" xfId="0" applyFont="1" applyAlignment="1">
      <alignment wrapText="1"/>
    </xf>
    <xf numFmtId="11" fontId="0" fillId="0" borderId="0" xfId="0" applyNumberFormat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/>
    </xf>
    <xf numFmtId="0" fontId="9" fillId="0" borderId="0" xfId="0" applyFont="1"/>
    <xf numFmtId="11" fontId="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9" fillId="0" borderId="0" xfId="0" applyNumberFormat="1" applyFont="1" applyAlignment="1">
      <alignment horizontal="center"/>
    </xf>
    <xf numFmtId="0" fontId="14" fillId="0" borderId="0" xfId="1" applyFont="1" applyFill="1" applyAlignment="1">
      <alignment horizontal="center"/>
    </xf>
    <xf numFmtId="0" fontId="14" fillId="0" borderId="0" xfId="1" applyFont="1" applyFill="1"/>
    <xf numFmtId="0" fontId="4" fillId="3" borderId="0" xfId="0" applyFont="1" applyFill="1" applyAlignment="1">
      <alignment horizontal="left" wrapText="1"/>
    </xf>
    <xf numFmtId="0" fontId="0" fillId="3" borderId="0" xfId="0" applyFill="1"/>
    <xf numFmtId="0" fontId="15" fillId="5" borderId="0" xfId="0" applyFont="1" applyFill="1"/>
    <xf numFmtId="2" fontId="14" fillId="0" borderId="0" xfId="1" applyNumberFormat="1" applyFont="1" applyFill="1"/>
    <xf numFmtId="14" fontId="14" fillId="0" borderId="0" xfId="1" applyNumberFormat="1" applyFont="1" applyFill="1"/>
    <xf numFmtId="0" fontId="14" fillId="0" borderId="0" xfId="0" applyFont="1"/>
    <xf numFmtId="11" fontId="0" fillId="3" borderId="0" xfId="0" applyNumberFormat="1" applyFill="1"/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2" fontId="7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'Sample Weight Measurements'!$J$3:$J$19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'Sample Weight Measurements'!$C$3:$C$19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61B-4602-9470-03A2FF4DDD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924800"/>
        <c:axId val="79438976"/>
      </c:scatterChart>
      <c:valAx>
        <c:axId val="78924800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8976"/>
        <c:crosses val="autoZero"/>
        <c:crossBetween val="midCat"/>
      </c:valAx>
      <c:valAx>
        <c:axId val="79438976"/>
        <c:scaling>
          <c:orientation val="maxMin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NBPXXXX XXXX 210Pb Uncorrected Activity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898140951590562"/>
          <c:y val="0.2616512461464206"/>
          <c:w val="0.66047777326407375"/>
          <c:h val="0.59138906358666166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'Excess Pb-210'!$I$3:$I$8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'Excess Pb-210'!$I$3:$I$8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strRef>
              <c:f>'Excess Pb-210'!$H$3:$H$19</c:f>
              <c:strCache>
                <c:ptCount val="17"/>
                <c:pt idx="0">
                  <c:v>X</c:v>
                </c:pt>
                <c:pt idx="1">
                  <c:v>X</c:v>
                </c:pt>
                <c:pt idx="2">
                  <c:v>X</c:v>
                </c:pt>
                <c:pt idx="3">
                  <c:v>X</c:v>
                </c:pt>
                <c:pt idx="4">
                  <c:v>X</c:v>
                </c:pt>
                <c:pt idx="5">
                  <c:v>X</c:v>
                </c:pt>
                <c:pt idx="6">
                  <c:v>X</c:v>
                </c:pt>
                <c:pt idx="7">
                  <c:v>X</c:v>
                </c:pt>
                <c:pt idx="8">
                  <c:v>X</c:v>
                </c:pt>
                <c:pt idx="9">
                  <c:v>X</c:v>
                </c:pt>
                <c:pt idx="10">
                  <c:v>X</c:v>
                </c:pt>
                <c:pt idx="11">
                  <c:v>X</c:v>
                </c:pt>
                <c:pt idx="12">
                  <c:v>X</c:v>
                </c:pt>
                <c:pt idx="13">
                  <c:v>X</c:v>
                </c:pt>
                <c:pt idx="14">
                  <c:v>X</c:v>
                </c:pt>
                <c:pt idx="15">
                  <c:v>X</c:v>
                </c:pt>
                <c:pt idx="16">
                  <c:v>X</c:v>
                </c:pt>
              </c:strCache>
            </c:strRef>
          </c:xVal>
          <c:yVal>
            <c:numRef>
              <c:f>'Excess Pb-210'!$E$3:$E$19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9-487D-A472-ACF84E9C1B1E}"/>
            </c:ext>
          </c:extLst>
        </c:ser>
        <c:ser>
          <c:idx val="1"/>
          <c:order val="1"/>
          <c:spPr>
            <a:ln w="95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'Excess Pb-210'!$Q$3:$Q$8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'Excess Pb-210'!$Q$3:$Q$8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strRef>
              <c:f>'Excess Pb-210'!$O$3:$O$19</c:f>
              <c:strCache>
                <c:ptCount val="17"/>
                <c:pt idx="0">
                  <c:v>X</c:v>
                </c:pt>
                <c:pt idx="1">
                  <c:v>X</c:v>
                </c:pt>
                <c:pt idx="2">
                  <c:v>X</c:v>
                </c:pt>
                <c:pt idx="3">
                  <c:v>X</c:v>
                </c:pt>
                <c:pt idx="4">
                  <c:v>X</c:v>
                </c:pt>
                <c:pt idx="5">
                  <c:v>X</c:v>
                </c:pt>
                <c:pt idx="6">
                  <c:v>X</c:v>
                </c:pt>
                <c:pt idx="7">
                  <c:v>X</c:v>
                </c:pt>
                <c:pt idx="8">
                  <c:v>X</c:v>
                </c:pt>
                <c:pt idx="9">
                  <c:v>X</c:v>
                </c:pt>
                <c:pt idx="10">
                  <c:v>X</c:v>
                </c:pt>
                <c:pt idx="11">
                  <c:v>X</c:v>
                </c:pt>
                <c:pt idx="12">
                  <c:v>X</c:v>
                </c:pt>
                <c:pt idx="13">
                  <c:v>X</c:v>
                </c:pt>
                <c:pt idx="14">
                  <c:v>X</c:v>
                </c:pt>
                <c:pt idx="15">
                  <c:v>X</c:v>
                </c:pt>
                <c:pt idx="16">
                  <c:v>X</c:v>
                </c:pt>
              </c:strCache>
            </c:strRef>
          </c:xVal>
          <c:yVal>
            <c:numRef>
              <c:f>'Excess Pb-210'!$E$3:$E$19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99-487D-A472-ACF84E9C1B1E}"/>
            </c:ext>
          </c:extLst>
        </c:ser>
        <c:ser>
          <c:idx val="2"/>
          <c:order val="2"/>
          <c:spPr>
            <a:ln w="95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'Excess Pb-210'!$T$3:$T$8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'Excess Pb-210'!$T$3:$T$8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strRef>
              <c:f>'Excess Pb-210'!$R$3:$R$19</c:f>
              <c:strCache>
                <c:ptCount val="17"/>
                <c:pt idx="0">
                  <c:v>X</c:v>
                </c:pt>
                <c:pt idx="1">
                  <c:v>X</c:v>
                </c:pt>
                <c:pt idx="2">
                  <c:v>X</c:v>
                </c:pt>
                <c:pt idx="3">
                  <c:v>X</c:v>
                </c:pt>
                <c:pt idx="4">
                  <c:v>X</c:v>
                </c:pt>
                <c:pt idx="5">
                  <c:v>X</c:v>
                </c:pt>
                <c:pt idx="6">
                  <c:v>X</c:v>
                </c:pt>
                <c:pt idx="7">
                  <c:v>X</c:v>
                </c:pt>
                <c:pt idx="8">
                  <c:v>X</c:v>
                </c:pt>
                <c:pt idx="9">
                  <c:v>X</c:v>
                </c:pt>
                <c:pt idx="10">
                  <c:v>X</c:v>
                </c:pt>
                <c:pt idx="11">
                  <c:v>X</c:v>
                </c:pt>
                <c:pt idx="12">
                  <c:v>X</c:v>
                </c:pt>
                <c:pt idx="13">
                  <c:v>X</c:v>
                </c:pt>
                <c:pt idx="14">
                  <c:v>X</c:v>
                </c:pt>
                <c:pt idx="15">
                  <c:v>X</c:v>
                </c:pt>
                <c:pt idx="16">
                  <c:v>X</c:v>
                </c:pt>
              </c:strCache>
            </c:strRef>
          </c:xVal>
          <c:yVal>
            <c:numRef>
              <c:f>'Excess Pb-210'!$E$3:$E$19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99-487D-A472-ACF84E9C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97184"/>
        <c:axId val="81598720"/>
      </c:scatterChart>
      <c:valAx>
        <c:axId val="8159718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Bq/unit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8720"/>
        <c:crosses val="autoZero"/>
        <c:crossBetween val="midCat"/>
      </c:valAx>
      <c:valAx>
        <c:axId val="81598720"/>
        <c:scaling>
          <c:orientation val="maxMin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7184"/>
        <c:crossesAt val="1.0000000000000005E-3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946517258403978E-2"/>
          <c:y val="0.84309428022853805"/>
          <c:w val="0.84488120349314211"/>
          <c:h val="0.14422765282727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NBPXXXX</a:t>
            </a:r>
            <a:r>
              <a:rPr lang="en-US" baseline="0"/>
              <a:t> XXXX</a:t>
            </a:r>
            <a:r>
              <a:rPr lang="en-US"/>
              <a:t> </a:t>
            </a:r>
            <a:r>
              <a:rPr lang="en-US" baseline="30000"/>
              <a:t>210</a:t>
            </a:r>
            <a:r>
              <a:rPr lang="en-US"/>
              <a:t>Pb Activity</a:t>
            </a:r>
          </a:p>
          <a:p>
            <a:pPr>
              <a:defRPr/>
            </a:pPr>
            <a:r>
              <a:rPr lang="en-US"/>
              <a:t>[Bq/g]</a:t>
            </a:r>
          </a:p>
        </c:rich>
      </c:tx>
      <c:layout>
        <c:manualLayout>
          <c:xMode val="edge"/>
          <c:yMode val="edge"/>
          <c:x val="0.33634867386878059"/>
          <c:y val="3.6117195410491389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6227863476497"/>
          <c:y val="0.1696546157819247"/>
          <c:w val="0.81617134590845863"/>
          <c:h val="0.72866573202270413"/>
        </c:manualLayout>
      </c:layout>
      <c:scatterChart>
        <c:scatterStyle val="lineMarker"/>
        <c:varyColors val="0"/>
        <c:ser>
          <c:idx val="1"/>
          <c:order val="0"/>
          <c:tx>
            <c:v>Background Activity</c:v>
          </c:tx>
          <c:spPr>
            <a:ln w="95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dLbls>
            <c:delete val="1"/>
          </c:dLbls>
          <c:errBars>
            <c:errDir val="x"/>
            <c:errBarType val="both"/>
            <c:errValType val="cust"/>
            <c:noEndCap val="0"/>
            <c:plus>
              <c:numRef>
                <c:f>'Excess Pb-210'!$V$3:$V$19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plus>
            <c:minus>
              <c:numRef>
                <c:f>'Excess Pb-210'!$V$3:$V$19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'Excess Pb-210'!$U$3:$U$19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'Excess Pb-210'!$E$3:$E$19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78-4E18-AF5C-BB7950C10E2F}"/>
            </c:ext>
          </c:extLst>
        </c:ser>
        <c:ser>
          <c:idx val="0"/>
          <c:order val="1"/>
          <c:tx>
            <c:v>Excess Activity</c:v>
          </c:tx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160187-E378-479E-8CE0-7334B3A61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182-4B93-A6D5-75980BF5C0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7E36C1-5FD7-40D6-B736-ABBD3E3C2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82-4B93-A6D5-75980BF5C0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388FF8-A1BA-4FDA-9BCE-E3E45464ED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82-4B93-A6D5-75980BF5C0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2EE2CD-1E2B-42FB-A424-9FE2ACF006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82-4B93-A6D5-75980BF5C0A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0BA693-80E8-492D-BBE4-F90836EA17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82-4B93-A6D5-75980BF5C0A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F58830-D236-4B48-98EA-0107D879B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82-4B93-A6D5-75980BF5C0A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F4E1BB8-2A37-44B9-BA8B-BC36BD148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82-4B93-A6D5-75980BF5C0A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46F8607-2AB2-4C92-8F1E-62C79C222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182-4B93-A6D5-75980BF5C0A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4F89E3-C8E2-40DC-ABB1-C7852586E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182-4B93-A6D5-75980BF5C0A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EB8BCB-136B-4B12-99BF-337B293AB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182-4B93-A6D5-75980BF5C0A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56EF0F-2B65-479A-B0C2-06EBBD825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82-4B93-A6D5-75980BF5C0A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18F38AA-D060-4155-9C43-474FB84E6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82-4B93-A6D5-75980BF5C0A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B83BFB2-226D-4888-9225-134B63E9E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82-4B93-A6D5-75980BF5C0A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D7F62F-2176-4EBF-9730-55D79F3D4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82-4B93-A6D5-75980BF5C0A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6F95C01-7535-4A36-9398-52B1BC90D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82-4B93-A6D5-75980BF5C0A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FCA44A8-0B8A-41FF-8F96-DB38826157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82-4B93-A6D5-75980BF5C0A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2A5953-3FCF-44E4-856B-3043E9B0E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82-4B93-A6D5-75980BF5C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'Excess Pb-210'!$J$3:$J$19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plus>
            <c:minus>
              <c:numRef>
                <c:f>'Excess Pb-210'!$J$3:$J$19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'Excess Pb-210'!$W$3:$W$19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'Excess Pb-210'!$E$3:$E$19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'Excess Pb-210'!$AA$3:$AA$19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678-4E18-AF5C-BB7950C10E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3801216"/>
        <c:axId val="83802752"/>
      </c:scatterChart>
      <c:valAx>
        <c:axId val="83801216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2752"/>
        <c:crosses val="autoZero"/>
        <c:crossBetween val="midCat"/>
      </c:valAx>
      <c:valAx>
        <c:axId val="83802752"/>
        <c:scaling>
          <c:orientation val="maxMin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1216"/>
        <c:crossesAt val="1.0000000000000005E-3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946517258403978E-2"/>
          <c:y val="0.92120482632677292"/>
          <c:w val="0.74420527321180663"/>
          <c:h val="7.8795125981642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79603</xdr:colOff>
      <xdr:row>1</xdr:row>
      <xdr:rowOff>113617</xdr:rowOff>
    </xdr:from>
    <xdr:to>
      <xdr:col>19</xdr:col>
      <xdr:colOff>176893</xdr:colOff>
      <xdr:row>31</xdr:row>
      <xdr:rowOff>103414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110180</xdr:colOff>
      <xdr:row>22</xdr:row>
      <xdr:rowOff>180923</xdr:rowOff>
    </xdr:from>
    <xdr:to>
      <xdr:col>8</xdr:col>
      <xdr:colOff>551433</xdr:colOff>
      <xdr:row>55</xdr:row>
      <xdr:rowOff>119811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388C9-30A4-4A20-A0F9-F89E746B6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22</xdr:row>
      <xdr:rowOff>128585</xdr:rowOff>
    </xdr:from>
    <xdr:to>
      <xdr:col>15</xdr:col>
      <xdr:colOff>285750</xdr:colOff>
      <xdr:row>67</xdr:row>
      <xdr:rowOff>148827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8E717-4BB8-4472-9410-C6EE152E7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"/>
  <sheetViews>
    <sheetView zoomScaleNormal="100" workbookViewId="0">
      <selection activeCell="B33" sqref="B33"/>
    </sheetView>
  </sheetViews>
  <sheetFormatPr defaultColWidth="8.85546875" defaultRowHeight="14.25" x14ac:dyDescent="0.2"/>
  <cols>
    <col min="1" max="1" width="28.42578125" style="7" customWidth="1"/>
    <col min="2" max="2" width="56.7109375" style="8" customWidth="1"/>
    <col min="3" max="3" width="46" style="8" customWidth="1"/>
    <col min="4" max="4" width="8.85546875" style="8"/>
    <col min="5" max="5" width="8.85546875" style="8" bestFit="1" customWidth="1"/>
    <col min="6" max="6" width="8.85546875" style="8"/>
    <col min="7" max="7" width="10.85546875" style="8" bestFit="1" customWidth="1"/>
    <col min="8" max="8" width="13" style="8" bestFit="1" customWidth="1"/>
    <col min="9" max="10" width="8.85546875" style="8" bestFit="1" customWidth="1"/>
    <col min="11" max="13" width="8.85546875" style="8"/>
    <col min="14" max="14" width="58.85546875" style="8" customWidth="1"/>
    <col min="15" max="16384" width="8.85546875" style="7"/>
  </cols>
  <sheetData>
    <row r="1" spans="1:14" s="9" customFormat="1" ht="15" x14ac:dyDescent="0.2">
      <c r="A1" s="11" t="s">
        <v>28</v>
      </c>
      <c r="B1" s="54" t="s">
        <v>97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" x14ac:dyDescent="0.2">
      <c r="A2" s="12" t="s">
        <v>27</v>
      </c>
      <c r="B2" s="43" t="s">
        <v>98</v>
      </c>
    </row>
    <row r="3" spans="1:14" ht="15" x14ac:dyDescent="0.2">
      <c r="A3" s="12" t="s">
        <v>33</v>
      </c>
      <c r="B3" s="43" t="s">
        <v>93</v>
      </c>
    </row>
    <row r="4" spans="1:14" ht="15" x14ac:dyDescent="0.2">
      <c r="A4" s="12" t="s">
        <v>32</v>
      </c>
      <c r="B4" s="43" t="s">
        <v>96</v>
      </c>
    </row>
    <row r="5" spans="1:14" ht="15" x14ac:dyDescent="0.2">
      <c r="A5" s="12" t="s">
        <v>34</v>
      </c>
      <c r="B5" s="43" t="s">
        <v>94</v>
      </c>
    </row>
    <row r="6" spans="1:14" ht="15" x14ac:dyDescent="0.2">
      <c r="A6" s="12" t="s">
        <v>47</v>
      </c>
      <c r="B6" s="13"/>
      <c r="D6" s="7"/>
      <c r="E6" s="7"/>
    </row>
    <row r="7" spans="1:14" ht="15" x14ac:dyDescent="0.2">
      <c r="A7" s="12" t="s">
        <v>35</v>
      </c>
      <c r="B7" s="43" t="s">
        <v>93</v>
      </c>
      <c r="D7" s="7"/>
      <c r="E7" s="7"/>
    </row>
    <row r="8" spans="1:14" ht="15" x14ac:dyDescent="0.2">
      <c r="A8" s="12" t="s">
        <v>61</v>
      </c>
      <c r="B8" s="13"/>
      <c r="D8" s="7"/>
      <c r="E8" s="7"/>
    </row>
    <row r="9" spans="1:14" ht="15" x14ac:dyDescent="0.2">
      <c r="A9" s="12" t="s">
        <v>62</v>
      </c>
      <c r="B9" s="13"/>
      <c r="D9" s="7"/>
      <c r="E9" s="7"/>
    </row>
    <row r="10" spans="1:14" ht="15" x14ac:dyDescent="0.2">
      <c r="A10" s="12" t="s">
        <v>46</v>
      </c>
      <c r="B10" s="23"/>
      <c r="D10" s="7"/>
      <c r="E10" s="7"/>
    </row>
    <row r="11" spans="1:14" ht="15" x14ac:dyDescent="0.2">
      <c r="A11" s="12" t="s">
        <v>31</v>
      </c>
      <c r="B11" s="13"/>
      <c r="D11" s="7"/>
      <c r="E11" s="7"/>
    </row>
    <row r="12" spans="1:14" ht="15" x14ac:dyDescent="0.2">
      <c r="A12" s="12" t="s">
        <v>48</v>
      </c>
      <c r="B12" s="13"/>
      <c r="D12" s="7"/>
      <c r="E12" s="7"/>
    </row>
    <row r="13" spans="1:14" ht="30" x14ac:dyDescent="0.2">
      <c r="A13" s="12" t="s">
        <v>49</v>
      </c>
      <c r="B13" s="13"/>
      <c r="D13" s="7"/>
      <c r="E13" s="7"/>
    </row>
    <row r="14" spans="1:14" ht="45" x14ac:dyDescent="0.2">
      <c r="A14" s="12" t="s">
        <v>50</v>
      </c>
      <c r="B14" s="13"/>
      <c r="D14" s="7"/>
      <c r="E14" s="7"/>
    </row>
    <row r="15" spans="1:14" ht="15" x14ac:dyDescent="0.2">
      <c r="A15" s="12" t="s">
        <v>51</v>
      </c>
      <c r="B15" s="13"/>
      <c r="D15" s="7"/>
      <c r="E15" s="7"/>
    </row>
    <row r="16" spans="1:14" ht="15" x14ac:dyDescent="0.2">
      <c r="A16" s="12" t="s">
        <v>30</v>
      </c>
      <c r="B16" s="13"/>
      <c r="D16" s="7"/>
      <c r="E16" s="7"/>
    </row>
    <row r="17" spans="1:5" ht="14.1" customHeight="1" x14ac:dyDescent="0.2">
      <c r="A17" s="55" t="s">
        <v>29</v>
      </c>
      <c r="B17" s="56"/>
      <c r="D17" s="7"/>
      <c r="E17" s="7"/>
    </row>
    <row r="18" spans="1:5" x14ac:dyDescent="0.2">
      <c r="A18" s="55"/>
      <c r="B18" s="57"/>
      <c r="D18" s="7"/>
      <c r="E18" s="7"/>
    </row>
    <row r="19" spans="1:5" x14ac:dyDescent="0.2">
      <c r="D19" s="7"/>
      <c r="E19" s="7"/>
    </row>
    <row r="21" spans="1:5" x14ac:dyDescent="0.2">
      <c r="A21" s="7" t="s">
        <v>59</v>
      </c>
    </row>
  </sheetData>
  <mergeCells count="2">
    <mergeCell ref="A17:A18"/>
    <mergeCell ref="B17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A2" zoomScale="70" zoomScaleNormal="70" workbookViewId="0">
      <selection activeCell="V26" sqref="V26"/>
    </sheetView>
  </sheetViews>
  <sheetFormatPr defaultColWidth="8.85546875" defaultRowHeight="15" x14ac:dyDescent="0.25"/>
  <cols>
    <col min="1" max="3" width="14.140625" customWidth="1"/>
    <col min="4" max="4" width="17" bestFit="1" customWidth="1"/>
    <col min="5" max="11" width="14.140625" customWidth="1"/>
    <col min="12" max="12" width="22" customWidth="1"/>
    <col min="13" max="13" width="17.85546875" bestFit="1" customWidth="1"/>
  </cols>
  <sheetData>
    <row r="1" spans="1:14" x14ac:dyDescent="0.25">
      <c r="E1" s="58" t="s">
        <v>55</v>
      </c>
      <c r="F1" s="58"/>
      <c r="G1" s="58"/>
      <c r="H1" s="58"/>
      <c r="I1" s="58"/>
      <c r="J1" s="58" t="s">
        <v>56</v>
      </c>
      <c r="K1" s="58"/>
    </row>
    <row r="2" spans="1:14" ht="60.75" customHeight="1" x14ac:dyDescent="0.25">
      <c r="A2" t="s">
        <v>2</v>
      </c>
      <c r="B2" t="s">
        <v>54</v>
      </c>
      <c r="C2" t="s">
        <v>69</v>
      </c>
      <c r="D2" t="s">
        <v>53</v>
      </c>
      <c r="E2" t="s">
        <v>75</v>
      </c>
      <c r="F2" t="s">
        <v>76</v>
      </c>
      <c r="G2" t="s">
        <v>77</v>
      </c>
      <c r="H2" t="s">
        <v>78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</row>
    <row r="3" spans="1:14" x14ac:dyDescent="0.25">
      <c r="A3" t="str">
        <f>'Core Details'!B7</f>
        <v>XXXX</v>
      </c>
      <c r="B3" s="44" t="s">
        <v>95</v>
      </c>
      <c r="C3" t="e">
        <f>(B3+D3)/2</f>
        <v>#VALUE!</v>
      </c>
      <c r="D3" s="44" t="s">
        <v>95</v>
      </c>
      <c r="E3" s="45" t="s">
        <v>95</v>
      </c>
      <c r="F3" s="45" t="s">
        <v>95</v>
      </c>
      <c r="G3" s="45" t="s">
        <v>95</v>
      </c>
      <c r="H3" t="e">
        <f>G3-E3</f>
        <v>#VALUE!</v>
      </c>
      <c r="I3" t="e">
        <f>F3-G3</f>
        <v>#VALUE!</v>
      </c>
      <c r="J3" t="e">
        <f>100*I3/(H3+I3)</f>
        <v>#VALUE!</v>
      </c>
      <c r="K3" s="45" t="s">
        <v>95</v>
      </c>
      <c r="L3" s="45" t="s">
        <v>95</v>
      </c>
      <c r="M3" t="e">
        <f>L3-K3</f>
        <v>#VALUE!</v>
      </c>
    </row>
    <row r="4" spans="1:14" x14ac:dyDescent="0.25">
      <c r="A4" t="str">
        <f>A3</f>
        <v>XXXX</v>
      </c>
      <c r="B4" s="44" t="s">
        <v>95</v>
      </c>
      <c r="C4" t="e">
        <f t="shared" ref="C4:C19" si="0">(B4+D4)/2</f>
        <v>#VALUE!</v>
      </c>
      <c r="D4" s="44" t="s">
        <v>95</v>
      </c>
      <c r="E4" s="45" t="s">
        <v>95</v>
      </c>
      <c r="F4" s="45" t="s">
        <v>95</v>
      </c>
      <c r="G4" s="45" t="s">
        <v>95</v>
      </c>
      <c r="H4" t="e">
        <f t="shared" ref="H4:H19" si="1">G4-E4</f>
        <v>#VALUE!</v>
      </c>
      <c r="I4" t="e">
        <f t="shared" ref="I4:I19" si="2">F4-G4</f>
        <v>#VALUE!</v>
      </c>
      <c r="J4" t="e">
        <f t="shared" ref="J4:J19" si="3">100*I4/(H4+I4)</f>
        <v>#VALUE!</v>
      </c>
      <c r="K4" s="45" t="s">
        <v>95</v>
      </c>
      <c r="L4" s="45" t="s">
        <v>95</v>
      </c>
      <c r="M4" t="e">
        <f t="shared" ref="M4:M19" si="4">L4-K4</f>
        <v>#VALUE!</v>
      </c>
    </row>
    <row r="5" spans="1:14" x14ac:dyDescent="0.25">
      <c r="A5" t="str">
        <f t="shared" ref="A5:A19" si="5">A4</f>
        <v>XXXX</v>
      </c>
      <c r="B5" s="44" t="s">
        <v>95</v>
      </c>
      <c r="C5" t="e">
        <f t="shared" si="0"/>
        <v>#VALUE!</v>
      </c>
      <c r="D5" s="44" t="s">
        <v>95</v>
      </c>
      <c r="E5" s="45" t="s">
        <v>95</v>
      </c>
      <c r="F5" s="45" t="s">
        <v>95</v>
      </c>
      <c r="G5" s="45" t="s">
        <v>95</v>
      </c>
      <c r="H5" t="e">
        <f t="shared" si="1"/>
        <v>#VALUE!</v>
      </c>
      <c r="I5" t="e">
        <f t="shared" si="2"/>
        <v>#VALUE!</v>
      </c>
      <c r="J5" t="e">
        <f t="shared" si="3"/>
        <v>#VALUE!</v>
      </c>
      <c r="K5" s="45" t="s">
        <v>95</v>
      </c>
      <c r="L5" s="45" t="s">
        <v>95</v>
      </c>
      <c r="M5" t="e">
        <f t="shared" si="4"/>
        <v>#VALUE!</v>
      </c>
    </row>
    <row r="6" spans="1:14" x14ac:dyDescent="0.25">
      <c r="A6" t="str">
        <f t="shared" si="5"/>
        <v>XXXX</v>
      </c>
      <c r="B6" s="44" t="s">
        <v>95</v>
      </c>
      <c r="C6" t="e">
        <f t="shared" si="0"/>
        <v>#VALUE!</v>
      </c>
      <c r="D6" s="44" t="s">
        <v>95</v>
      </c>
      <c r="E6" s="45" t="s">
        <v>95</v>
      </c>
      <c r="F6" s="45" t="s">
        <v>95</v>
      </c>
      <c r="G6" s="45" t="s">
        <v>95</v>
      </c>
      <c r="H6" t="e">
        <f t="shared" si="1"/>
        <v>#VALUE!</v>
      </c>
      <c r="I6" t="e">
        <f t="shared" si="2"/>
        <v>#VALUE!</v>
      </c>
      <c r="J6" t="e">
        <f t="shared" si="3"/>
        <v>#VALUE!</v>
      </c>
      <c r="K6" s="45" t="s">
        <v>95</v>
      </c>
      <c r="L6" s="45" t="s">
        <v>95</v>
      </c>
      <c r="M6" t="e">
        <f t="shared" si="4"/>
        <v>#VALUE!</v>
      </c>
    </row>
    <row r="7" spans="1:14" x14ac:dyDescent="0.25">
      <c r="A7" t="str">
        <f t="shared" si="5"/>
        <v>XXXX</v>
      </c>
      <c r="B7" s="44" t="s">
        <v>95</v>
      </c>
      <c r="C7" t="e">
        <f t="shared" si="0"/>
        <v>#VALUE!</v>
      </c>
      <c r="D7" s="44" t="s">
        <v>95</v>
      </c>
      <c r="E7" s="45" t="s">
        <v>95</v>
      </c>
      <c r="F7" s="45" t="s">
        <v>95</v>
      </c>
      <c r="G7" s="45" t="s">
        <v>95</v>
      </c>
      <c r="H7" t="e">
        <f t="shared" si="1"/>
        <v>#VALUE!</v>
      </c>
      <c r="I7" t="e">
        <f t="shared" si="2"/>
        <v>#VALUE!</v>
      </c>
      <c r="J7" t="e">
        <f t="shared" si="3"/>
        <v>#VALUE!</v>
      </c>
      <c r="K7" s="45" t="s">
        <v>95</v>
      </c>
      <c r="L7" s="45" t="s">
        <v>95</v>
      </c>
      <c r="M7" t="e">
        <f t="shared" si="4"/>
        <v>#VALUE!</v>
      </c>
    </row>
    <row r="8" spans="1:14" x14ac:dyDescent="0.25">
      <c r="A8" t="str">
        <f t="shared" si="5"/>
        <v>XXXX</v>
      </c>
      <c r="B8" s="44" t="s">
        <v>95</v>
      </c>
      <c r="C8" t="e">
        <f t="shared" si="0"/>
        <v>#VALUE!</v>
      </c>
      <c r="D8" s="44" t="s">
        <v>95</v>
      </c>
      <c r="E8" s="45" t="s">
        <v>95</v>
      </c>
      <c r="F8" s="45" t="s">
        <v>95</v>
      </c>
      <c r="G8" s="45" t="s">
        <v>95</v>
      </c>
      <c r="H8" t="e">
        <f t="shared" si="1"/>
        <v>#VALUE!</v>
      </c>
      <c r="I8" t="e">
        <f t="shared" si="2"/>
        <v>#VALUE!</v>
      </c>
      <c r="J8" t="e">
        <f t="shared" si="3"/>
        <v>#VALUE!</v>
      </c>
      <c r="K8" s="45" t="s">
        <v>95</v>
      </c>
      <c r="L8" s="45" t="s">
        <v>95</v>
      </c>
      <c r="M8" t="e">
        <f t="shared" si="4"/>
        <v>#VALUE!</v>
      </c>
    </row>
    <row r="9" spans="1:14" x14ac:dyDescent="0.25">
      <c r="A9" t="str">
        <f t="shared" si="5"/>
        <v>XXXX</v>
      </c>
      <c r="B9" s="44" t="s">
        <v>95</v>
      </c>
      <c r="C9" t="e">
        <f t="shared" si="0"/>
        <v>#VALUE!</v>
      </c>
      <c r="D9" s="44" t="s">
        <v>95</v>
      </c>
      <c r="E9" s="45" t="s">
        <v>95</v>
      </c>
      <c r="F9" s="45" t="s">
        <v>95</v>
      </c>
      <c r="G9" s="45" t="s">
        <v>95</v>
      </c>
      <c r="H9" t="e">
        <f t="shared" si="1"/>
        <v>#VALUE!</v>
      </c>
      <c r="I9" t="e">
        <f t="shared" si="2"/>
        <v>#VALUE!</v>
      </c>
      <c r="J9" t="e">
        <f t="shared" si="3"/>
        <v>#VALUE!</v>
      </c>
      <c r="K9" s="45" t="s">
        <v>95</v>
      </c>
      <c r="L9" s="45" t="s">
        <v>95</v>
      </c>
      <c r="M9" t="e">
        <f t="shared" si="4"/>
        <v>#VALUE!</v>
      </c>
    </row>
    <row r="10" spans="1:14" x14ac:dyDescent="0.25">
      <c r="A10" t="str">
        <f t="shared" si="5"/>
        <v>XXXX</v>
      </c>
      <c r="B10" s="44" t="s">
        <v>95</v>
      </c>
      <c r="C10" t="e">
        <f t="shared" si="0"/>
        <v>#VALUE!</v>
      </c>
      <c r="D10" s="44" t="s">
        <v>95</v>
      </c>
      <c r="E10" s="45" t="s">
        <v>95</v>
      </c>
      <c r="F10" s="45" t="s">
        <v>95</v>
      </c>
      <c r="G10" s="45" t="s">
        <v>95</v>
      </c>
      <c r="H10" t="e">
        <f t="shared" si="1"/>
        <v>#VALUE!</v>
      </c>
      <c r="I10" t="e">
        <f t="shared" si="2"/>
        <v>#VALUE!</v>
      </c>
      <c r="J10" t="e">
        <f t="shared" si="3"/>
        <v>#VALUE!</v>
      </c>
      <c r="K10" s="45" t="s">
        <v>95</v>
      </c>
      <c r="L10" s="45" t="s">
        <v>95</v>
      </c>
      <c r="M10" t="e">
        <f t="shared" si="4"/>
        <v>#VALUE!</v>
      </c>
    </row>
    <row r="11" spans="1:14" x14ac:dyDescent="0.25">
      <c r="A11" t="str">
        <f t="shared" si="5"/>
        <v>XXXX</v>
      </c>
      <c r="B11" s="44" t="s">
        <v>95</v>
      </c>
      <c r="C11" t="e">
        <f t="shared" si="0"/>
        <v>#VALUE!</v>
      </c>
      <c r="D11" s="44" t="s">
        <v>95</v>
      </c>
      <c r="E11" s="45" t="s">
        <v>95</v>
      </c>
      <c r="F11" s="45" t="s">
        <v>95</v>
      </c>
      <c r="G11" s="45" t="s">
        <v>95</v>
      </c>
      <c r="H11" t="e">
        <f t="shared" si="1"/>
        <v>#VALUE!</v>
      </c>
      <c r="I11" t="e">
        <f t="shared" si="2"/>
        <v>#VALUE!</v>
      </c>
      <c r="J11" t="e">
        <f t="shared" si="3"/>
        <v>#VALUE!</v>
      </c>
      <c r="K11" s="45" t="s">
        <v>95</v>
      </c>
      <c r="L11" s="45" t="s">
        <v>95</v>
      </c>
      <c r="M11" t="e">
        <f t="shared" si="4"/>
        <v>#VALUE!</v>
      </c>
    </row>
    <row r="12" spans="1:14" x14ac:dyDescent="0.25">
      <c r="A12" t="str">
        <f t="shared" si="5"/>
        <v>XXXX</v>
      </c>
      <c r="B12" s="44" t="s">
        <v>95</v>
      </c>
      <c r="C12" t="e">
        <f t="shared" si="0"/>
        <v>#VALUE!</v>
      </c>
      <c r="D12" s="44" t="s">
        <v>95</v>
      </c>
      <c r="E12" s="45" t="s">
        <v>95</v>
      </c>
      <c r="F12" s="45" t="s">
        <v>95</v>
      </c>
      <c r="G12" s="45" t="s">
        <v>95</v>
      </c>
      <c r="H12" t="e">
        <f t="shared" si="1"/>
        <v>#VALUE!</v>
      </c>
      <c r="I12" t="e">
        <f t="shared" si="2"/>
        <v>#VALUE!</v>
      </c>
      <c r="J12" t="e">
        <f t="shared" si="3"/>
        <v>#VALUE!</v>
      </c>
      <c r="K12" s="45" t="s">
        <v>95</v>
      </c>
      <c r="L12" s="45" t="s">
        <v>95</v>
      </c>
      <c r="M12" t="e">
        <f t="shared" si="4"/>
        <v>#VALUE!</v>
      </c>
    </row>
    <row r="13" spans="1:14" x14ac:dyDescent="0.25">
      <c r="A13" t="str">
        <f t="shared" si="5"/>
        <v>XXXX</v>
      </c>
      <c r="B13" s="44" t="s">
        <v>95</v>
      </c>
      <c r="C13" t="e">
        <f t="shared" si="0"/>
        <v>#VALUE!</v>
      </c>
      <c r="D13" s="44" t="s">
        <v>95</v>
      </c>
      <c r="E13" s="45" t="s">
        <v>95</v>
      </c>
      <c r="F13" s="45" t="s">
        <v>95</v>
      </c>
      <c r="G13" s="45" t="s">
        <v>95</v>
      </c>
      <c r="H13" t="e">
        <f t="shared" si="1"/>
        <v>#VALUE!</v>
      </c>
      <c r="I13" t="e">
        <f t="shared" si="2"/>
        <v>#VALUE!</v>
      </c>
      <c r="J13" t="e">
        <f t="shared" si="3"/>
        <v>#VALUE!</v>
      </c>
      <c r="K13" s="45" t="s">
        <v>95</v>
      </c>
      <c r="L13" s="45" t="s">
        <v>95</v>
      </c>
      <c r="M13" t="e">
        <f t="shared" si="4"/>
        <v>#VALUE!</v>
      </c>
    </row>
    <row r="14" spans="1:14" x14ac:dyDescent="0.25">
      <c r="A14" t="str">
        <f t="shared" si="5"/>
        <v>XXXX</v>
      </c>
      <c r="B14" s="44" t="s">
        <v>95</v>
      </c>
      <c r="C14" t="e">
        <f t="shared" si="0"/>
        <v>#VALUE!</v>
      </c>
      <c r="D14" s="44" t="s">
        <v>95</v>
      </c>
      <c r="E14" s="45" t="s">
        <v>95</v>
      </c>
      <c r="F14" s="45" t="s">
        <v>95</v>
      </c>
      <c r="G14" s="45" t="s">
        <v>95</v>
      </c>
      <c r="H14" t="e">
        <f t="shared" si="1"/>
        <v>#VALUE!</v>
      </c>
      <c r="I14" t="e">
        <f t="shared" si="2"/>
        <v>#VALUE!</v>
      </c>
      <c r="J14" t="e">
        <f t="shared" si="3"/>
        <v>#VALUE!</v>
      </c>
      <c r="K14" s="45" t="s">
        <v>95</v>
      </c>
      <c r="L14" s="45" t="s">
        <v>95</v>
      </c>
      <c r="M14" t="e">
        <f t="shared" si="4"/>
        <v>#VALUE!</v>
      </c>
    </row>
    <row r="15" spans="1:14" x14ac:dyDescent="0.25">
      <c r="A15" t="str">
        <f t="shared" si="5"/>
        <v>XXXX</v>
      </c>
      <c r="B15" s="44" t="s">
        <v>95</v>
      </c>
      <c r="C15" t="e">
        <f t="shared" si="0"/>
        <v>#VALUE!</v>
      </c>
      <c r="D15" s="44" t="s">
        <v>95</v>
      </c>
      <c r="E15" s="45" t="s">
        <v>95</v>
      </c>
      <c r="F15" s="45" t="s">
        <v>95</v>
      </c>
      <c r="G15" s="45" t="s">
        <v>95</v>
      </c>
      <c r="H15" t="e">
        <f t="shared" si="1"/>
        <v>#VALUE!</v>
      </c>
      <c r="I15" t="e">
        <f t="shared" si="2"/>
        <v>#VALUE!</v>
      </c>
      <c r="J15" t="e">
        <f t="shared" si="3"/>
        <v>#VALUE!</v>
      </c>
      <c r="K15" s="45" t="s">
        <v>95</v>
      </c>
      <c r="L15" s="45" t="s">
        <v>95</v>
      </c>
      <c r="M15" t="e">
        <f t="shared" si="4"/>
        <v>#VALUE!</v>
      </c>
    </row>
    <row r="16" spans="1:14" x14ac:dyDescent="0.25">
      <c r="A16" t="str">
        <f t="shared" si="5"/>
        <v>XXXX</v>
      </c>
      <c r="B16" s="44" t="s">
        <v>95</v>
      </c>
      <c r="C16" t="e">
        <f t="shared" si="0"/>
        <v>#VALUE!</v>
      </c>
      <c r="D16" s="44" t="s">
        <v>95</v>
      </c>
      <c r="E16" s="45" t="s">
        <v>95</v>
      </c>
      <c r="F16" s="45" t="s">
        <v>95</v>
      </c>
      <c r="G16" s="45" t="s">
        <v>95</v>
      </c>
      <c r="H16" t="e">
        <f t="shared" si="1"/>
        <v>#VALUE!</v>
      </c>
      <c r="I16" t="e">
        <f t="shared" si="2"/>
        <v>#VALUE!</v>
      </c>
      <c r="J16" t="e">
        <f t="shared" si="3"/>
        <v>#VALUE!</v>
      </c>
      <c r="K16" s="45" t="s">
        <v>95</v>
      </c>
      <c r="L16" s="45" t="s">
        <v>95</v>
      </c>
      <c r="M16" t="e">
        <f t="shared" si="4"/>
        <v>#VALUE!</v>
      </c>
    </row>
    <row r="17" spans="1:13" x14ac:dyDescent="0.25">
      <c r="A17" t="str">
        <f t="shared" si="5"/>
        <v>XXXX</v>
      </c>
      <c r="B17" s="44" t="s">
        <v>95</v>
      </c>
      <c r="C17" t="e">
        <f t="shared" si="0"/>
        <v>#VALUE!</v>
      </c>
      <c r="D17" s="44" t="s">
        <v>95</v>
      </c>
      <c r="E17" s="45" t="s">
        <v>95</v>
      </c>
      <c r="F17" s="45" t="s">
        <v>95</v>
      </c>
      <c r="G17" s="45" t="s">
        <v>95</v>
      </c>
      <c r="H17" t="e">
        <f t="shared" si="1"/>
        <v>#VALUE!</v>
      </c>
      <c r="I17" t="e">
        <f t="shared" si="2"/>
        <v>#VALUE!</v>
      </c>
      <c r="J17" t="e">
        <f t="shared" si="3"/>
        <v>#VALUE!</v>
      </c>
      <c r="K17" s="45" t="s">
        <v>95</v>
      </c>
      <c r="L17" s="45" t="s">
        <v>95</v>
      </c>
      <c r="M17" t="e">
        <f t="shared" si="4"/>
        <v>#VALUE!</v>
      </c>
    </row>
    <row r="18" spans="1:13" x14ac:dyDescent="0.25">
      <c r="A18" t="str">
        <f t="shared" si="5"/>
        <v>XXXX</v>
      </c>
      <c r="B18" s="44" t="s">
        <v>95</v>
      </c>
      <c r="C18" t="e">
        <f t="shared" si="0"/>
        <v>#VALUE!</v>
      </c>
      <c r="D18" s="44" t="s">
        <v>95</v>
      </c>
      <c r="E18" s="45" t="s">
        <v>95</v>
      </c>
      <c r="F18" s="45" t="s">
        <v>95</v>
      </c>
      <c r="G18" s="45" t="s">
        <v>95</v>
      </c>
      <c r="H18" t="e">
        <f t="shared" si="1"/>
        <v>#VALUE!</v>
      </c>
      <c r="I18" t="e">
        <f t="shared" si="2"/>
        <v>#VALUE!</v>
      </c>
      <c r="J18" t="e">
        <f t="shared" si="3"/>
        <v>#VALUE!</v>
      </c>
      <c r="K18" s="45" t="s">
        <v>95</v>
      </c>
      <c r="L18" s="45" t="s">
        <v>95</v>
      </c>
      <c r="M18" t="e">
        <f t="shared" si="4"/>
        <v>#VALUE!</v>
      </c>
    </row>
    <row r="19" spans="1:13" x14ac:dyDescent="0.25">
      <c r="A19" t="str">
        <f t="shared" si="5"/>
        <v>XXXX</v>
      </c>
      <c r="B19" s="44" t="s">
        <v>95</v>
      </c>
      <c r="C19" t="e">
        <f t="shared" si="0"/>
        <v>#VALUE!</v>
      </c>
      <c r="D19" s="44" t="s">
        <v>95</v>
      </c>
      <c r="E19" s="45" t="s">
        <v>95</v>
      </c>
      <c r="F19" s="45" t="s">
        <v>95</v>
      </c>
      <c r="G19" s="45" t="s">
        <v>95</v>
      </c>
      <c r="H19" t="e">
        <f t="shared" si="1"/>
        <v>#VALUE!</v>
      </c>
      <c r="I19" t="e">
        <f t="shared" si="2"/>
        <v>#VALUE!</v>
      </c>
      <c r="J19" t="e">
        <f t="shared" si="3"/>
        <v>#VALUE!</v>
      </c>
      <c r="K19" s="45" t="s">
        <v>95</v>
      </c>
      <c r="L19" s="45" t="s">
        <v>95</v>
      </c>
      <c r="M19" t="e">
        <f t="shared" si="4"/>
        <v>#VALUE!</v>
      </c>
    </row>
  </sheetData>
  <mergeCells count="2">
    <mergeCell ref="E1:I1"/>
    <mergeCell ref="J1:K1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I23"/>
  <sheetViews>
    <sheetView tabSelected="1" workbookViewId="0">
      <selection activeCell="H25" sqref="H25"/>
    </sheetView>
  </sheetViews>
  <sheetFormatPr defaultColWidth="8.85546875" defaultRowHeight="15" x14ac:dyDescent="0.25"/>
  <cols>
    <col min="1" max="1" width="12.7109375" customWidth="1"/>
    <col min="3" max="3" width="9.7109375" bestFit="1" customWidth="1"/>
    <col min="4" max="4" width="9.5703125" bestFit="1" customWidth="1"/>
    <col min="5" max="5" width="9" bestFit="1" customWidth="1"/>
    <col min="7" max="7" width="9.5703125" bestFit="1" customWidth="1"/>
  </cols>
  <sheetData>
    <row r="1" spans="1:9" s="16" customFormat="1" ht="75" x14ac:dyDescent="0.25">
      <c r="A1" s="16" t="s">
        <v>36</v>
      </c>
      <c r="B1" s="16" t="s">
        <v>37</v>
      </c>
      <c r="C1" s="16" t="s">
        <v>39</v>
      </c>
      <c r="D1" s="16" t="s">
        <v>38</v>
      </c>
      <c r="E1" s="16" t="s">
        <v>41</v>
      </c>
      <c r="G1" s="15" t="s">
        <v>72</v>
      </c>
    </row>
    <row r="2" spans="1:9" ht="14.45" customHeight="1" x14ac:dyDescent="0.25">
      <c r="A2" s="59" t="s">
        <v>42</v>
      </c>
      <c r="B2">
        <v>1</v>
      </c>
      <c r="C2" s="14">
        <v>43965</v>
      </c>
      <c r="D2" s="17">
        <v>128883</v>
      </c>
      <c r="E2" s="17">
        <v>4743.82</v>
      </c>
      <c r="G2" s="62">
        <f>AVERAGE(D2:D11)</f>
        <v>128902.5</v>
      </c>
    </row>
    <row r="3" spans="1:9" x14ac:dyDescent="0.25">
      <c r="A3" s="59"/>
      <c r="B3">
        <v>2</v>
      </c>
      <c r="C3" s="14">
        <v>43965</v>
      </c>
      <c r="D3" s="17">
        <v>128782</v>
      </c>
      <c r="E3" s="17">
        <v>4740.12</v>
      </c>
    </row>
    <row r="4" spans="1:9" x14ac:dyDescent="0.25">
      <c r="A4" s="59"/>
      <c r="B4">
        <v>3</v>
      </c>
      <c r="C4" s="14">
        <v>43965</v>
      </c>
      <c r="D4" s="17">
        <v>128879</v>
      </c>
      <c r="E4" s="17">
        <v>4743.68</v>
      </c>
    </row>
    <row r="5" spans="1:9" x14ac:dyDescent="0.25">
      <c r="A5" s="59"/>
      <c r="B5">
        <v>4</v>
      </c>
      <c r="C5" s="14">
        <v>43965</v>
      </c>
      <c r="D5" s="17">
        <v>129238</v>
      </c>
      <c r="E5" s="17">
        <v>4756.8900000000003</v>
      </c>
      <c r="G5" s="15"/>
    </row>
    <row r="6" spans="1:9" x14ac:dyDescent="0.25">
      <c r="A6" s="59"/>
      <c r="B6">
        <v>5</v>
      </c>
      <c r="C6" s="14">
        <v>43965</v>
      </c>
      <c r="D6" s="17">
        <v>128671</v>
      </c>
      <c r="E6" s="17">
        <v>4736.04</v>
      </c>
    </row>
    <row r="7" spans="1:9" x14ac:dyDescent="0.25">
      <c r="A7" s="59"/>
      <c r="B7">
        <v>6</v>
      </c>
      <c r="C7" s="14">
        <v>43965</v>
      </c>
      <c r="D7" s="17">
        <v>128922</v>
      </c>
      <c r="E7" s="17">
        <v>4745.25</v>
      </c>
    </row>
    <row r="8" spans="1:9" x14ac:dyDescent="0.25">
      <c r="A8" s="59"/>
      <c r="B8">
        <v>7</v>
      </c>
      <c r="C8" s="14">
        <v>43965</v>
      </c>
      <c r="D8" s="17">
        <v>129029</v>
      </c>
      <c r="E8" s="17">
        <v>4749.1899999999996</v>
      </c>
    </row>
    <row r="9" spans="1:9" x14ac:dyDescent="0.25">
      <c r="A9" s="59"/>
      <c r="B9">
        <v>8</v>
      </c>
      <c r="C9" s="14">
        <v>43966</v>
      </c>
      <c r="D9" s="17">
        <v>128887</v>
      </c>
      <c r="E9" s="17">
        <v>4743.95</v>
      </c>
    </row>
    <row r="10" spans="1:9" x14ac:dyDescent="0.25">
      <c r="A10" s="59"/>
      <c r="B10">
        <v>9</v>
      </c>
      <c r="C10" s="14">
        <v>43966</v>
      </c>
      <c r="D10" s="17">
        <v>128787</v>
      </c>
      <c r="E10" s="17">
        <v>4740.3100000000004</v>
      </c>
    </row>
    <row r="11" spans="1:9" x14ac:dyDescent="0.25">
      <c r="A11" s="59"/>
      <c r="B11">
        <v>10</v>
      </c>
      <c r="C11" s="14">
        <v>43966</v>
      </c>
      <c r="D11" s="17">
        <v>128947</v>
      </c>
      <c r="E11" s="17">
        <v>4746.17</v>
      </c>
    </row>
    <row r="13" spans="1:9" ht="33.75" x14ac:dyDescent="0.5">
      <c r="E13" t="s">
        <v>43</v>
      </c>
      <c r="I13" s="26"/>
    </row>
    <row r="14" spans="1:9" x14ac:dyDescent="0.25">
      <c r="E14" s="17">
        <f>AVERAGE(E2:E11)</f>
        <v>4744.5419999999995</v>
      </c>
    </row>
    <row r="22" spans="3:3" x14ac:dyDescent="0.25">
      <c r="C22" s="14"/>
    </row>
    <row r="23" spans="3:3" x14ac:dyDescent="0.25">
      <c r="C23" s="14"/>
    </row>
  </sheetData>
  <mergeCells count="1">
    <mergeCell ref="A2:A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32"/>
  <sheetViews>
    <sheetView workbookViewId="0">
      <selection activeCell="G29" sqref="G29"/>
    </sheetView>
  </sheetViews>
  <sheetFormatPr defaultColWidth="8.85546875" defaultRowHeight="15" x14ac:dyDescent="0.25"/>
  <cols>
    <col min="3" max="3" width="9.140625" style="17"/>
    <col min="6" max="6" width="9.7109375" bestFit="1" customWidth="1"/>
    <col min="9" max="9" width="10.42578125" customWidth="1"/>
    <col min="11" max="11" width="9.42578125" customWidth="1"/>
    <col min="12" max="12" width="12.42578125" customWidth="1"/>
  </cols>
  <sheetData>
    <row r="1" spans="1:14" x14ac:dyDescent="0.25">
      <c r="A1" t="s">
        <v>22</v>
      </c>
      <c r="G1" s="60" t="s">
        <v>44</v>
      </c>
      <c r="H1" s="60"/>
      <c r="I1" s="60"/>
    </row>
    <row r="2" spans="1:14" s="24" customFormat="1" ht="90" x14ac:dyDescent="0.25">
      <c r="A2" s="24" t="s">
        <v>1</v>
      </c>
      <c r="B2" s="24" t="s">
        <v>2</v>
      </c>
      <c r="C2" s="25" t="s">
        <v>57</v>
      </c>
      <c r="D2" s="25" t="s">
        <v>69</v>
      </c>
      <c r="E2" s="24" t="s">
        <v>23</v>
      </c>
      <c r="F2" s="24" t="s">
        <v>73</v>
      </c>
      <c r="G2" s="27" t="s">
        <v>40</v>
      </c>
      <c r="H2" s="24" t="s">
        <v>24</v>
      </c>
      <c r="I2" s="24" t="s">
        <v>25</v>
      </c>
      <c r="J2" s="24" t="s">
        <v>26</v>
      </c>
      <c r="K2" s="27" t="s">
        <v>58</v>
      </c>
      <c r="M2" s="16"/>
      <c r="N2" s="16"/>
    </row>
    <row r="3" spans="1:14" x14ac:dyDescent="0.25">
      <c r="A3" s="1" t="str">
        <f>'Core Details'!B2</f>
        <v>XXXX (Ex: NBP2002)</v>
      </c>
      <c r="B3" t="str">
        <f>'Sample Weight Measurements'!A3</f>
        <v>XXXX</v>
      </c>
      <c r="C3" s="17" t="str">
        <f>'Sample Weight Measurements'!B3</f>
        <v>X</v>
      </c>
      <c r="D3" s="17" t="e">
        <f>'Sample Weight Measurements'!C3</f>
        <v>#VALUE!</v>
      </c>
      <c r="E3">
        <v>1000</v>
      </c>
      <c r="F3" s="14">
        <v>43965</v>
      </c>
      <c r="G3">
        <f>'Point source runs'!G2</f>
        <v>128902.5</v>
      </c>
      <c r="H3" s="49" t="s">
        <v>95</v>
      </c>
      <c r="I3" s="49" t="s">
        <v>95</v>
      </c>
      <c r="J3" t="e">
        <f>H3/G3</f>
        <v>#VALUE!</v>
      </c>
      <c r="K3" t="e">
        <f>1-J3</f>
        <v>#VALUE!</v>
      </c>
      <c r="M3" s="21"/>
    </row>
    <row r="4" spans="1:14" x14ac:dyDescent="0.25">
      <c r="A4" s="1" t="str">
        <f>A3</f>
        <v>XXXX (Ex: NBP2002)</v>
      </c>
      <c r="B4" t="str">
        <f>'Sample Weight Measurements'!A4</f>
        <v>XXXX</v>
      </c>
      <c r="C4" s="17" t="str">
        <f>'Sample Weight Measurements'!B4</f>
        <v>X</v>
      </c>
      <c r="D4" s="17" t="e">
        <f>'Sample Weight Measurements'!C4</f>
        <v>#VALUE!</v>
      </c>
      <c r="E4">
        <v>1000</v>
      </c>
      <c r="F4" s="14">
        <v>43965</v>
      </c>
      <c r="G4">
        <f>G3</f>
        <v>128902.5</v>
      </c>
      <c r="H4" s="49" t="s">
        <v>95</v>
      </c>
      <c r="I4" s="49" t="s">
        <v>95</v>
      </c>
      <c r="J4" t="e">
        <f t="shared" ref="J4:J8" si="0">H4/G4</f>
        <v>#VALUE!</v>
      </c>
      <c r="K4" t="e">
        <f t="shared" ref="K4:K9" si="1">1-J4</f>
        <v>#VALUE!</v>
      </c>
    </row>
    <row r="5" spans="1:14" x14ac:dyDescent="0.25">
      <c r="A5" s="1" t="str">
        <f t="shared" ref="A5:A19" si="2">A4</f>
        <v>XXXX (Ex: NBP2002)</v>
      </c>
      <c r="B5" t="str">
        <f>'Sample Weight Measurements'!A5</f>
        <v>XXXX</v>
      </c>
      <c r="C5" s="17" t="str">
        <f>'Sample Weight Measurements'!B5</f>
        <v>X</v>
      </c>
      <c r="D5" s="17" t="e">
        <f>'Sample Weight Measurements'!C5</f>
        <v>#VALUE!</v>
      </c>
      <c r="E5">
        <v>1000</v>
      </c>
      <c r="F5" s="14">
        <v>43965</v>
      </c>
      <c r="G5">
        <f t="shared" ref="G5:G19" si="3">G4</f>
        <v>128902.5</v>
      </c>
      <c r="H5" s="49" t="s">
        <v>95</v>
      </c>
      <c r="I5" s="49" t="s">
        <v>95</v>
      </c>
      <c r="J5" t="e">
        <f t="shared" si="0"/>
        <v>#VALUE!</v>
      </c>
      <c r="K5" t="e">
        <f t="shared" si="1"/>
        <v>#VALUE!</v>
      </c>
    </row>
    <row r="6" spans="1:14" x14ac:dyDescent="0.25">
      <c r="A6" s="1" t="str">
        <f t="shared" si="2"/>
        <v>XXXX (Ex: NBP2002)</v>
      </c>
      <c r="B6" t="str">
        <f>'Sample Weight Measurements'!A6</f>
        <v>XXXX</v>
      </c>
      <c r="C6" s="17" t="str">
        <f>'Sample Weight Measurements'!B6</f>
        <v>X</v>
      </c>
      <c r="D6" s="17" t="e">
        <f>'Sample Weight Measurements'!C6</f>
        <v>#VALUE!</v>
      </c>
      <c r="E6">
        <v>1000</v>
      </c>
      <c r="F6" s="14">
        <v>43965</v>
      </c>
      <c r="G6">
        <f t="shared" si="3"/>
        <v>128902.5</v>
      </c>
      <c r="H6" s="49" t="s">
        <v>95</v>
      </c>
      <c r="I6" s="49" t="s">
        <v>95</v>
      </c>
      <c r="J6" t="e">
        <f t="shared" si="0"/>
        <v>#VALUE!</v>
      </c>
      <c r="K6" t="e">
        <f t="shared" si="1"/>
        <v>#VALUE!</v>
      </c>
    </row>
    <row r="7" spans="1:14" x14ac:dyDescent="0.25">
      <c r="A7" s="1" t="str">
        <f t="shared" si="2"/>
        <v>XXXX (Ex: NBP2002)</v>
      </c>
      <c r="B7" t="str">
        <f>'Sample Weight Measurements'!A7</f>
        <v>XXXX</v>
      </c>
      <c r="C7" s="17" t="str">
        <f>'Sample Weight Measurements'!B7</f>
        <v>X</v>
      </c>
      <c r="D7" s="17" t="e">
        <f>'Sample Weight Measurements'!C7</f>
        <v>#VALUE!</v>
      </c>
      <c r="E7">
        <v>1000</v>
      </c>
      <c r="F7" s="14">
        <v>43965</v>
      </c>
      <c r="G7">
        <f t="shared" si="3"/>
        <v>128902.5</v>
      </c>
      <c r="H7" s="49" t="s">
        <v>95</v>
      </c>
      <c r="I7" s="49" t="s">
        <v>95</v>
      </c>
      <c r="J7" t="e">
        <f t="shared" si="0"/>
        <v>#VALUE!</v>
      </c>
      <c r="K7" t="e">
        <f t="shared" si="1"/>
        <v>#VALUE!</v>
      </c>
    </row>
    <row r="8" spans="1:14" x14ac:dyDescent="0.25">
      <c r="A8" s="1" t="str">
        <f t="shared" si="2"/>
        <v>XXXX (Ex: NBP2002)</v>
      </c>
      <c r="B8" t="str">
        <f>'Sample Weight Measurements'!A8</f>
        <v>XXXX</v>
      </c>
      <c r="C8" s="17" t="str">
        <f>'Sample Weight Measurements'!B8</f>
        <v>X</v>
      </c>
      <c r="D8" s="17" t="e">
        <f>'Sample Weight Measurements'!C8</f>
        <v>#VALUE!</v>
      </c>
      <c r="E8">
        <v>1000</v>
      </c>
      <c r="F8" s="14">
        <v>43965</v>
      </c>
      <c r="G8">
        <f t="shared" si="3"/>
        <v>128902.5</v>
      </c>
      <c r="H8" s="49" t="s">
        <v>95</v>
      </c>
      <c r="I8" s="49" t="s">
        <v>95</v>
      </c>
      <c r="J8" t="e">
        <f t="shared" si="0"/>
        <v>#VALUE!</v>
      </c>
      <c r="K8" t="e">
        <f t="shared" si="1"/>
        <v>#VALUE!</v>
      </c>
    </row>
    <row r="9" spans="1:14" x14ac:dyDescent="0.25">
      <c r="A9" s="1" t="str">
        <f t="shared" si="2"/>
        <v>XXXX (Ex: NBP2002)</v>
      </c>
      <c r="B9" t="str">
        <f>'Sample Weight Measurements'!A9</f>
        <v>XXXX</v>
      </c>
      <c r="C9" s="17" t="str">
        <f>'Sample Weight Measurements'!B9</f>
        <v>X</v>
      </c>
      <c r="D9" s="17" t="e">
        <f>'Sample Weight Measurements'!C9</f>
        <v>#VALUE!</v>
      </c>
      <c r="E9">
        <v>1000</v>
      </c>
      <c r="F9" s="14">
        <v>43965</v>
      </c>
      <c r="G9">
        <f t="shared" si="3"/>
        <v>128902.5</v>
      </c>
      <c r="H9" s="49" t="s">
        <v>95</v>
      </c>
      <c r="I9" s="49" t="s">
        <v>95</v>
      </c>
      <c r="J9" t="e">
        <f>H9/G9</f>
        <v>#VALUE!</v>
      </c>
      <c r="K9" t="e">
        <f t="shared" si="1"/>
        <v>#VALUE!</v>
      </c>
    </row>
    <row r="10" spans="1:14" x14ac:dyDescent="0.25">
      <c r="A10" s="1" t="str">
        <f t="shared" si="2"/>
        <v>XXXX (Ex: NBP2002)</v>
      </c>
      <c r="B10" t="str">
        <f>'Sample Weight Measurements'!A10</f>
        <v>XXXX</v>
      </c>
      <c r="C10" s="17" t="str">
        <f>'Sample Weight Measurements'!B10</f>
        <v>X</v>
      </c>
      <c r="D10" s="17" t="e">
        <f>'Sample Weight Measurements'!C10</f>
        <v>#VALUE!</v>
      </c>
      <c r="E10">
        <v>1000</v>
      </c>
      <c r="F10" s="14">
        <v>43965</v>
      </c>
      <c r="G10">
        <f t="shared" si="3"/>
        <v>128902.5</v>
      </c>
      <c r="H10" s="49" t="s">
        <v>95</v>
      </c>
      <c r="I10" s="49" t="s">
        <v>95</v>
      </c>
      <c r="J10" t="e">
        <f t="shared" ref="J10:J19" si="4">H10/G10</f>
        <v>#VALUE!</v>
      </c>
      <c r="K10" t="e">
        <f t="shared" ref="K10:K19" si="5">1-J10</f>
        <v>#VALUE!</v>
      </c>
    </row>
    <row r="11" spans="1:14" x14ac:dyDescent="0.25">
      <c r="A11" s="1" t="str">
        <f t="shared" si="2"/>
        <v>XXXX (Ex: NBP2002)</v>
      </c>
      <c r="B11" t="str">
        <f>'Sample Weight Measurements'!A11</f>
        <v>XXXX</v>
      </c>
      <c r="C11" s="17" t="str">
        <f>'Sample Weight Measurements'!B11</f>
        <v>X</v>
      </c>
      <c r="D11" s="17" t="e">
        <f>'Sample Weight Measurements'!C11</f>
        <v>#VALUE!</v>
      </c>
      <c r="E11">
        <v>1000</v>
      </c>
      <c r="F11" s="14">
        <v>43965</v>
      </c>
      <c r="G11">
        <f t="shared" si="3"/>
        <v>128902.5</v>
      </c>
      <c r="H11" s="49" t="s">
        <v>95</v>
      </c>
      <c r="I11" s="49" t="s">
        <v>95</v>
      </c>
      <c r="J11" t="e">
        <f t="shared" si="4"/>
        <v>#VALUE!</v>
      </c>
      <c r="K11" t="e">
        <f t="shared" si="5"/>
        <v>#VALUE!</v>
      </c>
    </row>
    <row r="12" spans="1:14" x14ac:dyDescent="0.25">
      <c r="A12" s="1" t="str">
        <f t="shared" si="2"/>
        <v>XXXX (Ex: NBP2002)</v>
      </c>
      <c r="B12" t="str">
        <f>'Sample Weight Measurements'!A12</f>
        <v>XXXX</v>
      </c>
      <c r="C12" s="17" t="str">
        <f>'Sample Weight Measurements'!B12</f>
        <v>X</v>
      </c>
      <c r="D12" s="17" t="e">
        <f>'Sample Weight Measurements'!C12</f>
        <v>#VALUE!</v>
      </c>
      <c r="E12">
        <v>1000</v>
      </c>
      <c r="F12" s="14">
        <v>43965</v>
      </c>
      <c r="G12">
        <f t="shared" si="3"/>
        <v>128902.5</v>
      </c>
      <c r="H12" s="49" t="s">
        <v>95</v>
      </c>
      <c r="I12" s="49" t="s">
        <v>95</v>
      </c>
      <c r="J12" t="e">
        <f t="shared" si="4"/>
        <v>#VALUE!</v>
      </c>
      <c r="K12" t="e">
        <f t="shared" si="5"/>
        <v>#VALUE!</v>
      </c>
    </row>
    <row r="13" spans="1:14" x14ac:dyDescent="0.25">
      <c r="A13" s="1" t="str">
        <f t="shared" si="2"/>
        <v>XXXX (Ex: NBP2002)</v>
      </c>
      <c r="B13" t="str">
        <f>'Sample Weight Measurements'!A13</f>
        <v>XXXX</v>
      </c>
      <c r="C13" s="17" t="str">
        <f>'Sample Weight Measurements'!B13</f>
        <v>X</v>
      </c>
      <c r="D13" s="17" t="e">
        <f>'Sample Weight Measurements'!C13</f>
        <v>#VALUE!</v>
      </c>
      <c r="E13">
        <v>1000</v>
      </c>
      <c r="F13" s="14">
        <v>43965</v>
      </c>
      <c r="G13">
        <f t="shared" si="3"/>
        <v>128902.5</v>
      </c>
      <c r="H13" s="49" t="s">
        <v>95</v>
      </c>
      <c r="I13" s="49" t="s">
        <v>95</v>
      </c>
      <c r="J13" t="e">
        <f t="shared" si="4"/>
        <v>#VALUE!</v>
      </c>
      <c r="K13" t="e">
        <f t="shared" si="5"/>
        <v>#VALUE!</v>
      </c>
    </row>
    <row r="14" spans="1:14" x14ac:dyDescent="0.25">
      <c r="A14" s="1" t="str">
        <f t="shared" si="2"/>
        <v>XXXX (Ex: NBP2002)</v>
      </c>
      <c r="B14" t="str">
        <f>'Sample Weight Measurements'!A14</f>
        <v>XXXX</v>
      </c>
      <c r="C14" s="17" t="str">
        <f>'Sample Weight Measurements'!B14</f>
        <v>X</v>
      </c>
      <c r="D14" s="17" t="e">
        <f>'Sample Weight Measurements'!C14</f>
        <v>#VALUE!</v>
      </c>
      <c r="E14">
        <v>1000</v>
      </c>
      <c r="F14" s="14">
        <v>43965</v>
      </c>
      <c r="G14">
        <f t="shared" si="3"/>
        <v>128902.5</v>
      </c>
      <c r="H14" s="49" t="s">
        <v>95</v>
      </c>
      <c r="I14" s="49" t="s">
        <v>95</v>
      </c>
      <c r="J14" t="e">
        <f t="shared" si="4"/>
        <v>#VALUE!</v>
      </c>
      <c r="K14" t="e">
        <f t="shared" si="5"/>
        <v>#VALUE!</v>
      </c>
    </row>
    <row r="15" spans="1:14" x14ac:dyDescent="0.25">
      <c r="A15" s="1" t="str">
        <f t="shared" si="2"/>
        <v>XXXX (Ex: NBP2002)</v>
      </c>
      <c r="B15" t="str">
        <f>'Sample Weight Measurements'!A15</f>
        <v>XXXX</v>
      </c>
      <c r="C15" s="17" t="str">
        <f>'Sample Weight Measurements'!B15</f>
        <v>X</v>
      </c>
      <c r="D15" s="17" t="e">
        <f>'Sample Weight Measurements'!C15</f>
        <v>#VALUE!</v>
      </c>
      <c r="E15">
        <v>1000</v>
      </c>
      <c r="F15" s="14">
        <v>43965</v>
      </c>
      <c r="G15">
        <f t="shared" si="3"/>
        <v>128902.5</v>
      </c>
      <c r="H15" s="49" t="s">
        <v>95</v>
      </c>
      <c r="I15" s="49" t="s">
        <v>95</v>
      </c>
      <c r="J15" t="e">
        <f t="shared" si="4"/>
        <v>#VALUE!</v>
      </c>
      <c r="K15" t="e">
        <f t="shared" si="5"/>
        <v>#VALUE!</v>
      </c>
    </row>
    <row r="16" spans="1:14" x14ac:dyDescent="0.25">
      <c r="A16" s="1" t="str">
        <f t="shared" si="2"/>
        <v>XXXX (Ex: NBP2002)</v>
      </c>
      <c r="B16" t="str">
        <f>'Sample Weight Measurements'!A16</f>
        <v>XXXX</v>
      </c>
      <c r="C16" s="17" t="str">
        <f>'Sample Weight Measurements'!B16</f>
        <v>X</v>
      </c>
      <c r="D16" s="17" t="e">
        <f>'Sample Weight Measurements'!C16</f>
        <v>#VALUE!</v>
      </c>
      <c r="E16">
        <v>1000</v>
      </c>
      <c r="F16" s="14">
        <v>43965</v>
      </c>
      <c r="G16">
        <f t="shared" si="3"/>
        <v>128902.5</v>
      </c>
      <c r="H16" s="49" t="s">
        <v>95</v>
      </c>
      <c r="I16" s="49" t="s">
        <v>95</v>
      </c>
      <c r="J16" t="e">
        <f t="shared" si="4"/>
        <v>#VALUE!</v>
      </c>
      <c r="K16" t="e">
        <f t="shared" si="5"/>
        <v>#VALUE!</v>
      </c>
    </row>
    <row r="17" spans="1:14" x14ac:dyDescent="0.25">
      <c r="A17" s="1" t="str">
        <f t="shared" si="2"/>
        <v>XXXX (Ex: NBP2002)</v>
      </c>
      <c r="B17" s="42" t="str">
        <f>'Sample Weight Measurements'!A17</f>
        <v>XXXX</v>
      </c>
      <c r="C17" s="46" t="str">
        <f>'Sample Weight Measurements'!B17</f>
        <v>X</v>
      </c>
      <c r="D17" s="46" t="e">
        <f>'Sample Weight Measurements'!C17</f>
        <v>#VALUE!</v>
      </c>
      <c r="E17" s="42">
        <v>1000</v>
      </c>
      <c r="F17" s="47">
        <v>43965</v>
      </c>
      <c r="G17">
        <f t="shared" si="3"/>
        <v>128902.5</v>
      </c>
      <c r="H17" s="49" t="s">
        <v>95</v>
      </c>
      <c r="I17" s="49" t="s">
        <v>95</v>
      </c>
      <c r="J17" s="48" t="e">
        <f t="shared" si="4"/>
        <v>#VALUE!</v>
      </c>
      <c r="K17" s="48" t="e">
        <f t="shared" si="5"/>
        <v>#VALUE!</v>
      </c>
      <c r="L17" s="42"/>
      <c r="M17" s="48"/>
      <c r="N17" s="48"/>
    </row>
    <row r="18" spans="1:14" x14ac:dyDescent="0.25">
      <c r="A18" s="1" t="str">
        <f t="shared" si="2"/>
        <v>XXXX (Ex: NBP2002)</v>
      </c>
      <c r="B18" t="str">
        <f>'Sample Weight Measurements'!A18</f>
        <v>XXXX</v>
      </c>
      <c r="C18" s="17" t="str">
        <f>'Sample Weight Measurements'!B18</f>
        <v>X</v>
      </c>
      <c r="D18" s="17" t="e">
        <f>'Sample Weight Measurements'!C18</f>
        <v>#VALUE!</v>
      </c>
      <c r="E18">
        <v>1000</v>
      </c>
      <c r="F18" s="14">
        <v>43965</v>
      </c>
      <c r="G18">
        <f t="shared" si="3"/>
        <v>128902.5</v>
      </c>
      <c r="H18" s="49" t="s">
        <v>95</v>
      </c>
      <c r="I18" s="49" t="s">
        <v>95</v>
      </c>
      <c r="J18" t="e">
        <f t="shared" si="4"/>
        <v>#VALUE!</v>
      </c>
      <c r="K18" t="e">
        <f t="shared" si="5"/>
        <v>#VALUE!</v>
      </c>
    </row>
    <row r="19" spans="1:14" x14ac:dyDescent="0.25">
      <c r="A19" s="1" t="str">
        <f t="shared" si="2"/>
        <v>XXXX (Ex: NBP2002)</v>
      </c>
      <c r="B19" t="str">
        <f>'Sample Weight Measurements'!A19</f>
        <v>XXXX</v>
      </c>
      <c r="C19" s="17" t="str">
        <f>'Sample Weight Measurements'!B19</f>
        <v>X</v>
      </c>
      <c r="D19" s="17" t="e">
        <f>'Sample Weight Measurements'!C19</f>
        <v>#VALUE!</v>
      </c>
      <c r="E19">
        <v>1000</v>
      </c>
      <c r="F19" s="14">
        <v>43965</v>
      </c>
      <c r="G19">
        <f t="shared" si="3"/>
        <v>128902.5</v>
      </c>
      <c r="H19" s="49" t="s">
        <v>95</v>
      </c>
      <c r="I19" s="49" t="s">
        <v>95</v>
      </c>
      <c r="J19" t="e">
        <f t="shared" si="4"/>
        <v>#VALUE!</v>
      </c>
      <c r="K19" t="e">
        <f t="shared" si="5"/>
        <v>#VALUE!</v>
      </c>
    </row>
    <row r="20" spans="1:14" x14ac:dyDescent="0.25">
      <c r="A20" s="1"/>
      <c r="B20" s="1"/>
      <c r="C20" s="22"/>
      <c r="D20" s="22"/>
      <c r="F20" s="14"/>
    </row>
    <row r="21" spans="1:14" x14ac:dyDescent="0.25">
      <c r="A21" s="1"/>
      <c r="B21" s="1"/>
      <c r="C21" s="22"/>
      <c r="D21" s="22"/>
      <c r="F21" s="14"/>
    </row>
    <row r="22" spans="1:14" x14ac:dyDescent="0.25">
      <c r="A22" s="1"/>
      <c r="B22" s="1"/>
      <c r="C22" s="22"/>
      <c r="D22" s="22"/>
    </row>
    <row r="23" spans="1:14" x14ac:dyDescent="0.25">
      <c r="A23" s="1"/>
      <c r="B23" s="1"/>
      <c r="C23" s="22"/>
      <c r="D23" s="22"/>
      <c r="F23" s="14"/>
    </row>
    <row r="24" spans="1:14" x14ac:dyDescent="0.25">
      <c r="A24" s="1"/>
      <c r="B24" s="1"/>
      <c r="C24" s="22"/>
      <c r="D24" s="22"/>
    </row>
    <row r="25" spans="1:14" x14ac:dyDescent="0.25">
      <c r="A25" s="1"/>
      <c r="B25" s="1"/>
      <c r="C25" s="22"/>
      <c r="D25" s="22"/>
    </row>
    <row r="26" spans="1:14" x14ac:dyDescent="0.25">
      <c r="A26" s="1"/>
      <c r="B26" s="1"/>
      <c r="C26" s="22"/>
      <c r="D26" s="22"/>
    </row>
    <row r="27" spans="1:14" x14ac:dyDescent="0.25">
      <c r="A27" s="1"/>
      <c r="B27" s="1"/>
      <c r="C27" s="22"/>
      <c r="D27" s="22"/>
      <c r="F27" s="14"/>
    </row>
    <row r="28" spans="1:14" x14ac:dyDescent="0.25">
      <c r="A28" s="1"/>
      <c r="B28" s="1"/>
      <c r="C28" s="22"/>
      <c r="D28" s="22"/>
      <c r="F28" s="14"/>
    </row>
    <row r="29" spans="1:14" x14ac:dyDescent="0.25">
      <c r="A29" s="1"/>
      <c r="B29" s="1"/>
      <c r="C29" s="22"/>
      <c r="D29" s="22"/>
      <c r="F29" s="14"/>
    </row>
    <row r="30" spans="1:14" x14ac:dyDescent="0.25">
      <c r="A30" s="1"/>
      <c r="B30" s="1"/>
      <c r="C30" s="22"/>
      <c r="D30" s="22"/>
    </row>
    <row r="31" spans="1:14" x14ac:dyDescent="0.25">
      <c r="A31" s="1"/>
      <c r="B31" s="1"/>
      <c r="C31" s="22"/>
      <c r="D31" s="22"/>
    </row>
    <row r="32" spans="1:14" x14ac:dyDescent="0.25">
      <c r="A32" s="1"/>
      <c r="B32" s="1"/>
      <c r="C32" s="22"/>
      <c r="D32" s="22"/>
      <c r="F32" s="14"/>
    </row>
  </sheetData>
  <mergeCells count="1">
    <mergeCell ref="G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N44"/>
  <sheetViews>
    <sheetView topLeftCell="B1" zoomScale="64" zoomScaleNormal="64" workbookViewId="0">
      <selection activeCell="AA35" sqref="AA35"/>
    </sheetView>
  </sheetViews>
  <sheetFormatPr defaultColWidth="8.85546875" defaultRowHeight="15" x14ac:dyDescent="0.25"/>
  <cols>
    <col min="1" max="7" width="8.85546875" style="1"/>
    <col min="8" max="8" width="10.42578125" style="1" bestFit="1" customWidth="1"/>
    <col min="9" max="9" width="10.140625" style="1" bestFit="1" customWidth="1"/>
    <col min="10" max="10" width="10.42578125" style="1" bestFit="1" customWidth="1"/>
    <col min="11" max="11" width="14.7109375" style="1" bestFit="1" customWidth="1"/>
    <col min="12" max="12" width="14.7109375" style="6" bestFit="1" customWidth="1"/>
    <col min="13" max="14" width="14.7109375" style="1" bestFit="1" customWidth="1"/>
    <col min="15" max="15" width="9.7109375" style="1" bestFit="1" customWidth="1"/>
    <col min="16" max="16" width="14.7109375" style="1" bestFit="1" customWidth="1"/>
    <col min="17" max="17" width="10.140625" style="1" bestFit="1" customWidth="1"/>
    <col min="18" max="19" width="14.7109375" style="1" bestFit="1" customWidth="1"/>
    <col min="20" max="20" width="10.140625" style="1" bestFit="1" customWidth="1"/>
    <col min="21" max="21" width="14.7109375" style="1" bestFit="1" customWidth="1"/>
    <col min="22" max="22" width="15.42578125" style="1" bestFit="1" customWidth="1"/>
    <col min="23" max="23" width="22.42578125" style="1" bestFit="1" customWidth="1"/>
    <col min="24" max="26" width="8.85546875" style="1"/>
    <col min="27" max="27" width="10.85546875" style="1" bestFit="1" customWidth="1"/>
    <col min="28" max="16384" width="8.85546875" style="1"/>
  </cols>
  <sheetData>
    <row r="1" spans="1:40" s="3" customFormat="1" x14ac:dyDescent="0.25">
      <c r="A1" s="61" t="s">
        <v>0</v>
      </c>
      <c r="B1" s="61"/>
      <c r="C1" s="61"/>
      <c r="D1" s="61"/>
      <c r="E1" s="61"/>
      <c r="F1" s="1"/>
      <c r="H1" s="60" t="s">
        <v>5</v>
      </c>
      <c r="I1" s="60"/>
      <c r="J1" s="60"/>
      <c r="K1" s="60"/>
      <c r="L1" s="60" t="s">
        <v>7</v>
      </c>
      <c r="M1" s="60"/>
      <c r="N1" s="60"/>
      <c r="O1" s="60" t="s">
        <v>13</v>
      </c>
      <c r="P1" s="60"/>
      <c r="Q1" s="60"/>
      <c r="R1" s="60"/>
      <c r="S1" s="60"/>
      <c r="T1" s="60"/>
      <c r="U1" s="60"/>
      <c r="V1" s="1"/>
      <c r="W1" s="3" t="s">
        <v>18</v>
      </c>
      <c r="Y1" s="3" t="s">
        <v>81</v>
      </c>
    </row>
    <row r="2" spans="1:40" s="2" customFormat="1" ht="75" x14ac:dyDescent="0.25">
      <c r="A2" s="2" t="s">
        <v>1</v>
      </c>
      <c r="B2" s="24" t="s">
        <v>2</v>
      </c>
      <c r="C2" s="2" t="s">
        <v>3</v>
      </c>
      <c r="D2" s="2" t="s">
        <v>4</v>
      </c>
      <c r="E2" s="2" t="s">
        <v>52</v>
      </c>
      <c r="F2" s="19" t="s">
        <v>21</v>
      </c>
      <c r="G2" s="2" t="s">
        <v>8</v>
      </c>
      <c r="H2" s="19" t="s">
        <v>9</v>
      </c>
      <c r="I2" s="19" t="s">
        <v>10</v>
      </c>
      <c r="J2" s="29" t="s">
        <v>74</v>
      </c>
      <c r="K2" s="4" t="s">
        <v>60</v>
      </c>
      <c r="L2" s="29" t="s">
        <v>6</v>
      </c>
      <c r="M2" s="2" t="s">
        <v>11</v>
      </c>
      <c r="N2" s="2" t="s">
        <v>12</v>
      </c>
      <c r="O2" s="19" t="s">
        <v>19</v>
      </c>
      <c r="P2" s="2" t="s">
        <v>20</v>
      </c>
      <c r="Q2" s="19" t="s">
        <v>70</v>
      </c>
      <c r="R2" s="19" t="s">
        <v>14</v>
      </c>
      <c r="S2" s="2" t="s">
        <v>15</v>
      </c>
      <c r="T2" s="19" t="s">
        <v>71</v>
      </c>
      <c r="U2" s="2" t="s">
        <v>16</v>
      </c>
      <c r="V2" s="2" t="s">
        <v>79</v>
      </c>
      <c r="W2" s="5" t="s">
        <v>17</v>
      </c>
      <c r="Y2" s="2" t="s">
        <v>82</v>
      </c>
      <c r="Z2" s="2" t="s">
        <v>83</v>
      </c>
      <c r="AA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</row>
    <row r="3" spans="1:40" x14ac:dyDescent="0.25">
      <c r="A3" s="1" t="s">
        <v>45</v>
      </c>
      <c r="B3" t="str">
        <f>'Sample Weight Measurements'!A3</f>
        <v>XXXX</v>
      </c>
      <c r="C3" s="1">
        <v>2019</v>
      </c>
      <c r="D3" s="22" t="str">
        <f>'Sample Weight Measurements'!B3</f>
        <v>X</v>
      </c>
      <c r="E3" s="22" t="e">
        <f>'Sample Weight Measurements'!C3</f>
        <v>#VALUE!</v>
      </c>
      <c r="F3" s="50" t="e">
        <f>'Sample Weight Measurements'!M3</f>
        <v>#VALUE!</v>
      </c>
      <c r="G3" s="1">
        <v>20</v>
      </c>
      <c r="H3" s="51" t="s">
        <v>95</v>
      </c>
      <c r="I3" s="51" t="s">
        <v>95</v>
      </c>
      <c r="J3" s="28" t="e">
        <f>I3/F3</f>
        <v>#VALUE!</v>
      </c>
      <c r="K3" s="28" t="e">
        <f>H3/F3</f>
        <v>#VALUE!</v>
      </c>
      <c r="L3" s="33" t="e">
        <f>'Self absorption correction'!J3</f>
        <v>#VALUE!</v>
      </c>
      <c r="M3" s="1" t="e">
        <f>H3/L3</f>
        <v>#VALUE!</v>
      </c>
      <c r="N3" s="1" t="e">
        <f t="shared" ref="N3:N19" si="0">K3/L3</f>
        <v>#VALUE!</v>
      </c>
      <c r="O3" s="51" t="s">
        <v>95</v>
      </c>
      <c r="P3" s="1" t="e">
        <f t="shared" ref="P3:P19" si="1">O3/F3</f>
        <v>#VALUE!</v>
      </c>
      <c r="Q3" s="51" t="s">
        <v>95</v>
      </c>
      <c r="R3" s="51" t="s">
        <v>95</v>
      </c>
      <c r="S3" s="1" t="e">
        <f t="shared" ref="S3:S19" si="2">R3/F3</f>
        <v>#VALUE!</v>
      </c>
      <c r="T3" s="51" t="s">
        <v>95</v>
      </c>
      <c r="U3" s="1" t="e">
        <f>(P3+S3)/2</f>
        <v>#VALUE!</v>
      </c>
      <c r="V3" s="39" t="e">
        <f t="shared" ref="V3:V19" si="3">AVERAGE(Q3,T3)/F3</f>
        <v>#DIV/0!</v>
      </c>
      <c r="W3" s="1" t="e">
        <f>N3-U3</f>
        <v>#VALUE!</v>
      </c>
      <c r="Y3" s="1" t="e">
        <f>W3</f>
        <v>#VALUE!</v>
      </c>
      <c r="Z3" s="1" t="e">
        <f>(1/0.03114)*LN(Y3/W3)</f>
        <v>#VALUE!</v>
      </c>
      <c r="AA3" s="35" t="e">
        <f>2019-Z3</f>
        <v>#VALUE!</v>
      </c>
      <c r="AG3" s="37" t="e">
        <f>W3+J3</f>
        <v>#VALUE!</v>
      </c>
      <c r="AH3" s="37" t="e">
        <f>W3+J3</f>
        <v>#VALUE!</v>
      </c>
      <c r="AI3" s="37" t="e">
        <f>W3-J3</f>
        <v>#VALUE!</v>
      </c>
      <c r="AJ3" s="37" t="e">
        <f>W3-J3</f>
        <v>#VALUE!</v>
      </c>
      <c r="AK3" s="38" t="e">
        <f>2019-((1/0.03114)*LN(AG3/AH3))</f>
        <v>#VALUE!</v>
      </c>
      <c r="AL3" s="38" t="e">
        <f>2019-((1/0.03114)*LN(AI3/AJ3))</f>
        <v>#VALUE!</v>
      </c>
      <c r="AM3" s="22" t="e">
        <f>AK3-AA3</f>
        <v>#VALUE!</v>
      </c>
      <c r="AN3" s="22" t="e">
        <f t="shared" ref="AN3:AN19" si="4">AA3-AL3</f>
        <v>#VALUE!</v>
      </c>
    </row>
    <row r="4" spans="1:40" x14ac:dyDescent="0.25">
      <c r="A4" s="1" t="s">
        <v>45</v>
      </c>
      <c r="B4" t="str">
        <f>'Sample Weight Measurements'!A4</f>
        <v>XXXX</v>
      </c>
      <c r="C4" s="1">
        <v>2019</v>
      </c>
      <c r="D4" s="22" t="str">
        <f>'Sample Weight Measurements'!B4</f>
        <v>X</v>
      </c>
      <c r="E4" s="22" t="e">
        <f>'Sample Weight Measurements'!C4</f>
        <v>#VALUE!</v>
      </c>
      <c r="F4" s="50" t="e">
        <f>'Sample Weight Measurements'!M4</f>
        <v>#VALUE!</v>
      </c>
      <c r="G4" s="1">
        <v>20</v>
      </c>
      <c r="H4" s="51" t="s">
        <v>95</v>
      </c>
      <c r="I4" s="51" t="s">
        <v>95</v>
      </c>
      <c r="J4" s="28" t="e">
        <f t="shared" ref="J4:J19" si="5">I4/F4</f>
        <v>#VALUE!</v>
      </c>
      <c r="K4" s="1" t="e">
        <f t="shared" ref="K4:K9" si="6">H4/F4</f>
        <v>#VALUE!</v>
      </c>
      <c r="L4" s="33" t="e">
        <f>'Self absorption correction'!J4</f>
        <v>#VALUE!</v>
      </c>
      <c r="M4" s="1" t="e">
        <f t="shared" ref="M4:M10" si="7">H4/L4</f>
        <v>#VALUE!</v>
      </c>
      <c r="N4" s="1" t="e">
        <f t="shared" si="0"/>
        <v>#VALUE!</v>
      </c>
      <c r="O4" s="51" t="s">
        <v>95</v>
      </c>
      <c r="P4" s="1" t="e">
        <f t="shared" si="1"/>
        <v>#VALUE!</v>
      </c>
      <c r="Q4" s="51" t="s">
        <v>95</v>
      </c>
      <c r="R4" s="51" t="s">
        <v>95</v>
      </c>
      <c r="S4" s="1" t="e">
        <f t="shared" si="2"/>
        <v>#VALUE!</v>
      </c>
      <c r="T4" s="51" t="s">
        <v>95</v>
      </c>
      <c r="U4" s="1" t="e">
        <f t="shared" ref="U4:U8" si="8">(P4+S4)/2</f>
        <v>#VALUE!</v>
      </c>
      <c r="V4" s="39" t="e">
        <f t="shared" si="3"/>
        <v>#DIV/0!</v>
      </c>
      <c r="W4" s="1" t="e">
        <f t="shared" ref="W4:W8" si="9">N4-U4</f>
        <v>#VALUE!</v>
      </c>
      <c r="Y4" s="1" t="e">
        <f>Y3</f>
        <v>#VALUE!</v>
      </c>
      <c r="Z4" s="1" t="e">
        <f t="shared" ref="Z4:Z19" si="10">(1/0.03114)*LN(Y4/W4)</f>
        <v>#VALUE!</v>
      </c>
      <c r="AA4" s="35" t="e">
        <f t="shared" ref="AA4:AA19" si="11">2019-Z4</f>
        <v>#VALUE!</v>
      </c>
      <c r="AG4" s="37" t="e">
        <f>AG3</f>
        <v>#VALUE!</v>
      </c>
      <c r="AH4" s="37" t="e">
        <f t="shared" ref="AH4:AH19" si="12">W4+J4</f>
        <v>#VALUE!</v>
      </c>
      <c r="AI4" s="37" t="e">
        <f>AI3</f>
        <v>#VALUE!</v>
      </c>
      <c r="AJ4" s="37" t="e">
        <f t="shared" ref="AJ4:AJ19" si="13">W4-J4</f>
        <v>#VALUE!</v>
      </c>
      <c r="AK4" s="38" t="e">
        <f>2019-((1/0.03114)*LN(AG4/AH4))</f>
        <v>#VALUE!</v>
      </c>
      <c r="AL4" s="38" t="e">
        <f t="shared" ref="AL4:AL19" si="14">2019-((1/0.03114)*LN(AI4/AJ4))</f>
        <v>#VALUE!</v>
      </c>
      <c r="AM4" s="22" t="e">
        <f t="shared" ref="AM4:AM19" si="15">AK4-AA4</f>
        <v>#VALUE!</v>
      </c>
      <c r="AN4" s="22" t="e">
        <f t="shared" si="4"/>
        <v>#VALUE!</v>
      </c>
    </row>
    <row r="5" spans="1:40" x14ac:dyDescent="0.25">
      <c r="A5" s="1" t="s">
        <v>45</v>
      </c>
      <c r="B5" t="str">
        <f>'Sample Weight Measurements'!A5</f>
        <v>XXXX</v>
      </c>
      <c r="C5" s="1">
        <v>2019</v>
      </c>
      <c r="D5" s="22" t="str">
        <f>'Sample Weight Measurements'!B5</f>
        <v>X</v>
      </c>
      <c r="E5" s="22" t="e">
        <f>'Sample Weight Measurements'!C5</f>
        <v>#VALUE!</v>
      </c>
      <c r="F5" s="50" t="e">
        <f>'Sample Weight Measurements'!M5</f>
        <v>#VALUE!</v>
      </c>
      <c r="G5" s="1">
        <v>20</v>
      </c>
      <c r="H5" s="51" t="s">
        <v>95</v>
      </c>
      <c r="I5" s="51" t="s">
        <v>95</v>
      </c>
      <c r="J5" s="28" t="e">
        <f t="shared" si="5"/>
        <v>#VALUE!</v>
      </c>
      <c r="K5" s="1" t="e">
        <f t="shared" si="6"/>
        <v>#VALUE!</v>
      </c>
      <c r="L5" s="33" t="e">
        <f>'Self absorption correction'!J5</f>
        <v>#VALUE!</v>
      </c>
      <c r="M5" s="1" t="e">
        <f t="shared" si="7"/>
        <v>#VALUE!</v>
      </c>
      <c r="N5" s="1" t="e">
        <f t="shared" si="0"/>
        <v>#VALUE!</v>
      </c>
      <c r="O5" s="51" t="s">
        <v>95</v>
      </c>
      <c r="P5" s="1" t="e">
        <f t="shared" si="1"/>
        <v>#VALUE!</v>
      </c>
      <c r="Q5" s="51" t="s">
        <v>95</v>
      </c>
      <c r="R5" s="51" t="s">
        <v>95</v>
      </c>
      <c r="S5" s="1" t="e">
        <f t="shared" si="2"/>
        <v>#VALUE!</v>
      </c>
      <c r="T5" s="51" t="s">
        <v>95</v>
      </c>
      <c r="U5" s="1" t="e">
        <f t="shared" si="8"/>
        <v>#VALUE!</v>
      </c>
      <c r="V5" s="39" t="e">
        <f t="shared" si="3"/>
        <v>#DIV/0!</v>
      </c>
      <c r="W5" s="1" t="e">
        <f t="shared" si="9"/>
        <v>#VALUE!</v>
      </c>
      <c r="Y5" s="1" t="e">
        <f>Y4</f>
        <v>#VALUE!</v>
      </c>
      <c r="Z5" s="1" t="e">
        <f t="shared" si="10"/>
        <v>#VALUE!</v>
      </c>
      <c r="AA5" s="35" t="e">
        <f t="shared" si="11"/>
        <v>#VALUE!</v>
      </c>
      <c r="AG5" s="37" t="e">
        <f t="shared" ref="AG5:AG19" si="16">AG4</f>
        <v>#VALUE!</v>
      </c>
      <c r="AH5" s="37" t="e">
        <f t="shared" si="12"/>
        <v>#VALUE!</v>
      </c>
      <c r="AI5" s="37" t="e">
        <f t="shared" ref="AI5:AI19" si="17">AI4</f>
        <v>#VALUE!</v>
      </c>
      <c r="AJ5" s="37" t="e">
        <f t="shared" si="13"/>
        <v>#VALUE!</v>
      </c>
      <c r="AK5" s="38" t="e">
        <f t="shared" ref="AK5:AK19" si="18">2019-((1/0.03114)*LN(AG5/AH5))</f>
        <v>#VALUE!</v>
      </c>
      <c r="AL5" s="38" t="e">
        <f t="shared" si="14"/>
        <v>#VALUE!</v>
      </c>
      <c r="AM5" s="22" t="e">
        <f t="shared" si="15"/>
        <v>#VALUE!</v>
      </c>
      <c r="AN5" s="22" t="e">
        <f t="shared" si="4"/>
        <v>#VALUE!</v>
      </c>
    </row>
    <row r="6" spans="1:40" x14ac:dyDescent="0.25">
      <c r="A6" s="1" t="s">
        <v>45</v>
      </c>
      <c r="B6" t="str">
        <f>'Sample Weight Measurements'!A6</f>
        <v>XXXX</v>
      </c>
      <c r="C6" s="1">
        <v>2019</v>
      </c>
      <c r="D6" s="22" t="str">
        <f>'Sample Weight Measurements'!B6</f>
        <v>X</v>
      </c>
      <c r="E6" s="22" t="e">
        <f>'Sample Weight Measurements'!C6</f>
        <v>#VALUE!</v>
      </c>
      <c r="F6" s="50" t="e">
        <f>'Sample Weight Measurements'!M6</f>
        <v>#VALUE!</v>
      </c>
      <c r="G6" s="1">
        <v>20</v>
      </c>
      <c r="H6" s="51" t="s">
        <v>95</v>
      </c>
      <c r="I6" s="51" t="s">
        <v>95</v>
      </c>
      <c r="J6" s="28" t="e">
        <f t="shared" si="5"/>
        <v>#VALUE!</v>
      </c>
      <c r="K6" s="1" t="e">
        <f t="shared" si="6"/>
        <v>#VALUE!</v>
      </c>
      <c r="L6" s="33" t="e">
        <f>'Self absorption correction'!J6</f>
        <v>#VALUE!</v>
      </c>
      <c r="M6" s="1" t="e">
        <f t="shared" si="7"/>
        <v>#VALUE!</v>
      </c>
      <c r="N6" s="1" t="e">
        <f t="shared" si="0"/>
        <v>#VALUE!</v>
      </c>
      <c r="O6" s="51" t="s">
        <v>95</v>
      </c>
      <c r="P6" s="1" t="e">
        <f t="shared" si="1"/>
        <v>#VALUE!</v>
      </c>
      <c r="Q6" s="51" t="s">
        <v>95</v>
      </c>
      <c r="R6" s="51" t="s">
        <v>95</v>
      </c>
      <c r="S6" s="1" t="e">
        <f t="shared" si="2"/>
        <v>#VALUE!</v>
      </c>
      <c r="T6" s="51" t="s">
        <v>95</v>
      </c>
      <c r="U6" s="1" t="e">
        <f t="shared" si="8"/>
        <v>#VALUE!</v>
      </c>
      <c r="V6" s="39" t="e">
        <f t="shared" si="3"/>
        <v>#DIV/0!</v>
      </c>
      <c r="W6" s="1" t="e">
        <f t="shared" si="9"/>
        <v>#VALUE!</v>
      </c>
      <c r="Y6" s="1" t="e">
        <f t="shared" ref="Y6:Y19" si="19">Y5</f>
        <v>#VALUE!</v>
      </c>
      <c r="Z6" s="1" t="e">
        <f t="shared" si="10"/>
        <v>#VALUE!</v>
      </c>
      <c r="AA6" s="35" t="e">
        <f t="shared" si="11"/>
        <v>#VALUE!</v>
      </c>
      <c r="AG6" s="37" t="e">
        <f t="shared" si="16"/>
        <v>#VALUE!</v>
      </c>
      <c r="AH6" s="37" t="e">
        <f t="shared" si="12"/>
        <v>#VALUE!</v>
      </c>
      <c r="AI6" s="37" t="e">
        <f t="shared" si="17"/>
        <v>#VALUE!</v>
      </c>
      <c r="AJ6" s="37" t="e">
        <f t="shared" si="13"/>
        <v>#VALUE!</v>
      </c>
      <c r="AK6" s="38" t="e">
        <f t="shared" si="18"/>
        <v>#VALUE!</v>
      </c>
      <c r="AL6" s="38" t="e">
        <f t="shared" si="14"/>
        <v>#VALUE!</v>
      </c>
      <c r="AM6" s="22" t="e">
        <f t="shared" si="15"/>
        <v>#VALUE!</v>
      </c>
      <c r="AN6" s="22" t="e">
        <f t="shared" si="4"/>
        <v>#VALUE!</v>
      </c>
    </row>
    <row r="7" spans="1:40" x14ac:dyDescent="0.25">
      <c r="A7" s="1" t="s">
        <v>45</v>
      </c>
      <c r="B7" t="str">
        <f>'Sample Weight Measurements'!A7</f>
        <v>XXXX</v>
      </c>
      <c r="C7" s="1">
        <v>2019</v>
      </c>
      <c r="D7" s="22" t="str">
        <f>'Sample Weight Measurements'!B7</f>
        <v>X</v>
      </c>
      <c r="E7" s="22" t="e">
        <f>'Sample Weight Measurements'!C7</f>
        <v>#VALUE!</v>
      </c>
      <c r="F7" s="50" t="e">
        <f>'Sample Weight Measurements'!M7</f>
        <v>#VALUE!</v>
      </c>
      <c r="G7" s="1">
        <v>20</v>
      </c>
      <c r="H7" s="51" t="s">
        <v>95</v>
      </c>
      <c r="I7" s="51" t="s">
        <v>95</v>
      </c>
      <c r="J7" s="28" t="e">
        <f t="shared" si="5"/>
        <v>#VALUE!</v>
      </c>
      <c r="K7" s="1" t="e">
        <f t="shared" si="6"/>
        <v>#VALUE!</v>
      </c>
      <c r="L7" s="33" t="e">
        <f>'Self absorption correction'!J7</f>
        <v>#VALUE!</v>
      </c>
      <c r="M7" s="1" t="e">
        <f t="shared" si="7"/>
        <v>#VALUE!</v>
      </c>
      <c r="N7" s="1" t="e">
        <f t="shared" si="0"/>
        <v>#VALUE!</v>
      </c>
      <c r="O7" s="51" t="s">
        <v>95</v>
      </c>
      <c r="P7" s="1" t="e">
        <f t="shared" si="1"/>
        <v>#VALUE!</v>
      </c>
      <c r="Q7" s="51" t="s">
        <v>95</v>
      </c>
      <c r="R7" s="51" t="s">
        <v>95</v>
      </c>
      <c r="S7" s="1" t="e">
        <f t="shared" si="2"/>
        <v>#VALUE!</v>
      </c>
      <c r="T7" s="51" t="s">
        <v>95</v>
      </c>
      <c r="U7" s="1" t="e">
        <f t="shared" si="8"/>
        <v>#VALUE!</v>
      </c>
      <c r="V7" s="39" t="e">
        <f t="shared" si="3"/>
        <v>#DIV/0!</v>
      </c>
      <c r="W7" s="1" t="e">
        <f t="shared" si="9"/>
        <v>#VALUE!</v>
      </c>
      <c r="Y7" s="1" t="e">
        <f t="shared" si="19"/>
        <v>#VALUE!</v>
      </c>
      <c r="Z7" s="1" t="e">
        <f t="shared" si="10"/>
        <v>#VALUE!</v>
      </c>
      <c r="AA7" s="35" t="e">
        <f t="shared" si="11"/>
        <v>#VALUE!</v>
      </c>
      <c r="AG7" s="37" t="e">
        <f t="shared" si="16"/>
        <v>#VALUE!</v>
      </c>
      <c r="AH7" s="37" t="e">
        <f t="shared" si="12"/>
        <v>#VALUE!</v>
      </c>
      <c r="AI7" s="37" t="e">
        <f t="shared" si="17"/>
        <v>#VALUE!</v>
      </c>
      <c r="AJ7" s="37" t="e">
        <f t="shared" si="13"/>
        <v>#VALUE!</v>
      </c>
      <c r="AK7" s="38" t="e">
        <f t="shared" si="18"/>
        <v>#VALUE!</v>
      </c>
      <c r="AL7" s="38" t="e">
        <f t="shared" si="14"/>
        <v>#VALUE!</v>
      </c>
      <c r="AM7" s="22" t="e">
        <f t="shared" si="15"/>
        <v>#VALUE!</v>
      </c>
      <c r="AN7" s="22" t="e">
        <f t="shared" si="4"/>
        <v>#VALUE!</v>
      </c>
    </row>
    <row r="8" spans="1:40" x14ac:dyDescent="0.25">
      <c r="A8" s="1" t="s">
        <v>45</v>
      </c>
      <c r="B8" t="str">
        <f>'Sample Weight Measurements'!A8</f>
        <v>XXXX</v>
      </c>
      <c r="C8" s="1">
        <v>2019</v>
      </c>
      <c r="D8" s="22" t="str">
        <f>'Sample Weight Measurements'!B8</f>
        <v>X</v>
      </c>
      <c r="E8" s="22" t="e">
        <f>'Sample Weight Measurements'!C8</f>
        <v>#VALUE!</v>
      </c>
      <c r="F8" s="50" t="e">
        <f>'Sample Weight Measurements'!M8</f>
        <v>#VALUE!</v>
      </c>
      <c r="G8" s="1">
        <v>20</v>
      </c>
      <c r="H8" s="51" t="s">
        <v>95</v>
      </c>
      <c r="I8" s="51" t="s">
        <v>95</v>
      </c>
      <c r="J8" s="28" t="e">
        <f t="shared" si="5"/>
        <v>#VALUE!</v>
      </c>
      <c r="K8" s="1" t="e">
        <f t="shared" si="6"/>
        <v>#VALUE!</v>
      </c>
      <c r="L8" s="33" t="e">
        <f>'Self absorption correction'!J8</f>
        <v>#VALUE!</v>
      </c>
      <c r="M8" s="1" t="e">
        <f t="shared" si="7"/>
        <v>#VALUE!</v>
      </c>
      <c r="N8" s="1" t="e">
        <f t="shared" si="0"/>
        <v>#VALUE!</v>
      </c>
      <c r="O8" s="51" t="s">
        <v>95</v>
      </c>
      <c r="P8" s="1" t="e">
        <f t="shared" si="1"/>
        <v>#VALUE!</v>
      </c>
      <c r="Q8" s="51" t="s">
        <v>95</v>
      </c>
      <c r="R8" s="51" t="s">
        <v>95</v>
      </c>
      <c r="S8" s="1" t="e">
        <f t="shared" si="2"/>
        <v>#VALUE!</v>
      </c>
      <c r="T8" s="51" t="s">
        <v>95</v>
      </c>
      <c r="U8" s="1" t="e">
        <f t="shared" si="8"/>
        <v>#VALUE!</v>
      </c>
      <c r="V8" s="39" t="e">
        <f t="shared" si="3"/>
        <v>#DIV/0!</v>
      </c>
      <c r="W8" s="1" t="e">
        <f t="shared" si="9"/>
        <v>#VALUE!</v>
      </c>
      <c r="Y8" s="1" t="e">
        <f t="shared" si="19"/>
        <v>#VALUE!</v>
      </c>
      <c r="Z8" s="1" t="e">
        <f t="shared" si="10"/>
        <v>#VALUE!</v>
      </c>
      <c r="AA8" s="35" t="e">
        <f t="shared" si="11"/>
        <v>#VALUE!</v>
      </c>
      <c r="AG8" s="37" t="e">
        <f t="shared" si="16"/>
        <v>#VALUE!</v>
      </c>
      <c r="AH8" s="37" t="e">
        <f t="shared" si="12"/>
        <v>#VALUE!</v>
      </c>
      <c r="AI8" s="37" t="e">
        <f t="shared" si="17"/>
        <v>#VALUE!</v>
      </c>
      <c r="AJ8" s="37" t="e">
        <f t="shared" si="13"/>
        <v>#VALUE!</v>
      </c>
      <c r="AK8" s="38" t="e">
        <f t="shared" si="18"/>
        <v>#VALUE!</v>
      </c>
      <c r="AL8" s="38" t="e">
        <f t="shared" si="14"/>
        <v>#VALUE!</v>
      </c>
      <c r="AM8" s="22" t="e">
        <f t="shared" si="15"/>
        <v>#VALUE!</v>
      </c>
      <c r="AN8" s="22" t="e">
        <f t="shared" si="4"/>
        <v>#VALUE!</v>
      </c>
    </row>
    <row r="9" spans="1:40" s="32" customFormat="1" x14ac:dyDescent="0.25">
      <c r="A9" s="32" t="s">
        <v>45</v>
      </c>
      <c r="B9" s="33" t="str">
        <f>'Sample Weight Measurements'!A9</f>
        <v>XXXX</v>
      </c>
      <c r="C9" s="32">
        <v>2019</v>
      </c>
      <c r="D9" s="22" t="str">
        <f>'Sample Weight Measurements'!B9</f>
        <v>X</v>
      </c>
      <c r="E9" s="22" t="e">
        <f>'Sample Weight Measurements'!C9</f>
        <v>#VALUE!</v>
      </c>
      <c r="F9" s="50" t="e">
        <f>'Sample Weight Measurements'!M9</f>
        <v>#VALUE!</v>
      </c>
      <c r="G9" s="32">
        <v>20</v>
      </c>
      <c r="H9" s="51" t="s">
        <v>95</v>
      </c>
      <c r="I9" s="51" t="s">
        <v>95</v>
      </c>
      <c r="J9" s="34" t="e">
        <f t="shared" si="5"/>
        <v>#VALUE!</v>
      </c>
      <c r="K9" s="32" t="e">
        <f t="shared" si="6"/>
        <v>#VALUE!</v>
      </c>
      <c r="L9" s="33" t="e">
        <f>'Self absorption correction'!J9</f>
        <v>#VALUE!</v>
      </c>
      <c r="M9" s="32" t="e">
        <f t="shared" si="7"/>
        <v>#VALUE!</v>
      </c>
      <c r="N9" s="32" t="e">
        <f t="shared" si="0"/>
        <v>#VALUE!</v>
      </c>
      <c r="O9" s="51" t="s">
        <v>95</v>
      </c>
      <c r="P9" s="32" t="e">
        <f t="shared" si="1"/>
        <v>#VALUE!</v>
      </c>
      <c r="Q9" s="51" t="s">
        <v>95</v>
      </c>
      <c r="R9" s="51" t="s">
        <v>95</v>
      </c>
      <c r="S9" s="32" t="e">
        <f t="shared" si="2"/>
        <v>#VALUE!</v>
      </c>
      <c r="T9" s="51" t="s">
        <v>95</v>
      </c>
      <c r="U9" s="32" t="e">
        <f t="shared" ref="U9:U19" si="20">(P9+S9)/2</f>
        <v>#VALUE!</v>
      </c>
      <c r="V9" s="40" t="e">
        <f t="shared" si="3"/>
        <v>#DIV/0!</v>
      </c>
      <c r="W9" s="32" t="e">
        <f t="shared" ref="W9:W18" si="21">N9-U9</f>
        <v>#VALUE!</v>
      </c>
      <c r="Y9" s="32" t="e">
        <f t="shared" si="19"/>
        <v>#VALUE!</v>
      </c>
      <c r="Z9" s="32" t="e">
        <f t="shared" si="10"/>
        <v>#VALUE!</v>
      </c>
      <c r="AA9" s="36" t="e">
        <f t="shared" si="11"/>
        <v>#VALUE!</v>
      </c>
      <c r="AG9" s="37" t="e">
        <f t="shared" si="16"/>
        <v>#VALUE!</v>
      </c>
      <c r="AH9" s="37" t="e">
        <f t="shared" si="12"/>
        <v>#VALUE!</v>
      </c>
      <c r="AI9" s="37" t="e">
        <f t="shared" si="17"/>
        <v>#VALUE!</v>
      </c>
      <c r="AJ9" s="37" t="e">
        <f t="shared" si="13"/>
        <v>#VALUE!</v>
      </c>
      <c r="AK9" s="38" t="e">
        <f t="shared" si="18"/>
        <v>#VALUE!</v>
      </c>
      <c r="AL9" s="38" t="e">
        <f t="shared" si="14"/>
        <v>#VALUE!</v>
      </c>
      <c r="AM9" s="22" t="e">
        <f t="shared" si="15"/>
        <v>#VALUE!</v>
      </c>
      <c r="AN9" s="22" t="e">
        <f t="shared" si="4"/>
        <v>#VALUE!</v>
      </c>
    </row>
    <row r="10" spans="1:40" x14ac:dyDescent="0.25">
      <c r="A10" s="1" t="s">
        <v>45</v>
      </c>
      <c r="B10" t="str">
        <f>'Sample Weight Measurements'!A10</f>
        <v>XXXX</v>
      </c>
      <c r="C10" s="1">
        <v>2019</v>
      </c>
      <c r="D10" s="22" t="str">
        <f>'Sample Weight Measurements'!B10</f>
        <v>X</v>
      </c>
      <c r="E10" s="22" t="e">
        <f>'Sample Weight Measurements'!C10</f>
        <v>#VALUE!</v>
      </c>
      <c r="F10" s="50" t="e">
        <f>'Sample Weight Measurements'!M10</f>
        <v>#VALUE!</v>
      </c>
      <c r="G10" s="1">
        <v>20</v>
      </c>
      <c r="H10" s="51" t="s">
        <v>95</v>
      </c>
      <c r="I10" s="51" t="s">
        <v>95</v>
      </c>
      <c r="J10" s="28" t="e">
        <f t="shared" si="5"/>
        <v>#VALUE!</v>
      </c>
      <c r="K10" s="1" t="e">
        <f t="shared" ref="K10:K19" si="22">H10/F10</f>
        <v>#VALUE!</v>
      </c>
      <c r="L10" s="33" t="e">
        <f>'Self absorption correction'!J10</f>
        <v>#VALUE!</v>
      </c>
      <c r="M10" s="1" t="e">
        <f t="shared" si="7"/>
        <v>#VALUE!</v>
      </c>
      <c r="N10" s="1" t="e">
        <f t="shared" si="0"/>
        <v>#VALUE!</v>
      </c>
      <c r="O10" s="51" t="s">
        <v>95</v>
      </c>
      <c r="P10" s="1" t="e">
        <f t="shared" si="1"/>
        <v>#VALUE!</v>
      </c>
      <c r="Q10" s="51" t="s">
        <v>95</v>
      </c>
      <c r="R10" s="51" t="s">
        <v>95</v>
      </c>
      <c r="S10" s="1" t="e">
        <f t="shared" si="2"/>
        <v>#VALUE!</v>
      </c>
      <c r="T10" s="51" t="s">
        <v>95</v>
      </c>
      <c r="U10" s="1" t="e">
        <f t="shared" si="20"/>
        <v>#VALUE!</v>
      </c>
      <c r="V10" s="39" t="e">
        <f t="shared" si="3"/>
        <v>#DIV/0!</v>
      </c>
      <c r="W10" s="1" t="e">
        <f t="shared" si="21"/>
        <v>#VALUE!</v>
      </c>
      <c r="Y10" s="1" t="e">
        <f t="shared" si="19"/>
        <v>#VALUE!</v>
      </c>
      <c r="Z10" s="1" t="e">
        <f t="shared" si="10"/>
        <v>#VALUE!</v>
      </c>
      <c r="AA10" s="35" t="e">
        <f t="shared" si="11"/>
        <v>#VALUE!</v>
      </c>
      <c r="AG10" s="37" t="e">
        <f t="shared" si="16"/>
        <v>#VALUE!</v>
      </c>
      <c r="AH10" s="37" t="e">
        <f t="shared" si="12"/>
        <v>#VALUE!</v>
      </c>
      <c r="AI10" s="37" t="e">
        <f t="shared" si="17"/>
        <v>#VALUE!</v>
      </c>
      <c r="AJ10" s="37" t="e">
        <f t="shared" si="13"/>
        <v>#VALUE!</v>
      </c>
      <c r="AK10" s="38" t="e">
        <f t="shared" si="18"/>
        <v>#VALUE!</v>
      </c>
      <c r="AL10" s="38" t="e">
        <f t="shared" si="14"/>
        <v>#VALUE!</v>
      </c>
      <c r="AM10" s="22" t="e">
        <f t="shared" si="15"/>
        <v>#VALUE!</v>
      </c>
      <c r="AN10" s="22" t="e">
        <f t="shared" si="4"/>
        <v>#VALUE!</v>
      </c>
    </row>
    <row r="11" spans="1:40" x14ac:dyDescent="0.25">
      <c r="A11" s="1" t="s">
        <v>45</v>
      </c>
      <c r="B11" t="str">
        <f>'Sample Weight Measurements'!A11</f>
        <v>XXXX</v>
      </c>
      <c r="C11" s="1">
        <v>2019</v>
      </c>
      <c r="D11" s="22" t="str">
        <f>'Sample Weight Measurements'!B11</f>
        <v>X</v>
      </c>
      <c r="E11" s="22" t="e">
        <f>'Sample Weight Measurements'!C11</f>
        <v>#VALUE!</v>
      </c>
      <c r="F11" s="50" t="e">
        <f>'Sample Weight Measurements'!M11</f>
        <v>#VALUE!</v>
      </c>
      <c r="G11" s="1">
        <v>20</v>
      </c>
      <c r="H11" s="51" t="s">
        <v>95</v>
      </c>
      <c r="I11" s="51" t="s">
        <v>95</v>
      </c>
      <c r="J11" s="28" t="e">
        <f t="shared" si="5"/>
        <v>#VALUE!</v>
      </c>
      <c r="K11" s="1" t="e">
        <f t="shared" si="22"/>
        <v>#VALUE!</v>
      </c>
      <c r="L11" s="33" t="e">
        <f>'Self absorption correction'!J11</f>
        <v>#VALUE!</v>
      </c>
      <c r="M11" s="1" t="e">
        <f t="shared" ref="M11:M19" si="23">H11/L11</f>
        <v>#VALUE!</v>
      </c>
      <c r="N11" s="1" t="e">
        <f t="shared" si="0"/>
        <v>#VALUE!</v>
      </c>
      <c r="O11" s="51" t="s">
        <v>95</v>
      </c>
      <c r="P11" s="1" t="e">
        <f t="shared" si="1"/>
        <v>#VALUE!</v>
      </c>
      <c r="Q11" s="51" t="s">
        <v>95</v>
      </c>
      <c r="R11" s="51" t="s">
        <v>95</v>
      </c>
      <c r="S11" s="1" t="e">
        <f t="shared" si="2"/>
        <v>#VALUE!</v>
      </c>
      <c r="T11" s="51" t="s">
        <v>95</v>
      </c>
      <c r="U11" s="1" t="e">
        <f t="shared" si="20"/>
        <v>#VALUE!</v>
      </c>
      <c r="V11" s="39" t="e">
        <f t="shared" si="3"/>
        <v>#DIV/0!</v>
      </c>
      <c r="W11" s="1" t="e">
        <f t="shared" si="21"/>
        <v>#VALUE!</v>
      </c>
      <c r="Y11" s="1" t="e">
        <f t="shared" si="19"/>
        <v>#VALUE!</v>
      </c>
      <c r="Z11" s="1" t="e">
        <f t="shared" si="10"/>
        <v>#VALUE!</v>
      </c>
      <c r="AA11" s="35" t="e">
        <f t="shared" si="11"/>
        <v>#VALUE!</v>
      </c>
      <c r="AG11" s="37" t="e">
        <f t="shared" si="16"/>
        <v>#VALUE!</v>
      </c>
      <c r="AH11" s="37" t="e">
        <f t="shared" si="12"/>
        <v>#VALUE!</v>
      </c>
      <c r="AI11" s="37" t="e">
        <f t="shared" si="17"/>
        <v>#VALUE!</v>
      </c>
      <c r="AJ11" s="37" t="e">
        <f t="shared" si="13"/>
        <v>#VALUE!</v>
      </c>
      <c r="AK11" s="38" t="e">
        <f t="shared" si="18"/>
        <v>#VALUE!</v>
      </c>
      <c r="AL11" s="38" t="e">
        <f t="shared" si="14"/>
        <v>#VALUE!</v>
      </c>
      <c r="AM11" s="22" t="e">
        <f t="shared" si="15"/>
        <v>#VALUE!</v>
      </c>
      <c r="AN11" s="22" t="e">
        <f t="shared" si="4"/>
        <v>#VALUE!</v>
      </c>
    </row>
    <row r="12" spans="1:40" x14ac:dyDescent="0.25">
      <c r="A12" s="1" t="s">
        <v>45</v>
      </c>
      <c r="B12" t="str">
        <f>'Sample Weight Measurements'!A12</f>
        <v>XXXX</v>
      </c>
      <c r="C12" s="1">
        <v>2019</v>
      </c>
      <c r="D12" s="22" t="str">
        <f>'Sample Weight Measurements'!B12</f>
        <v>X</v>
      </c>
      <c r="E12" s="22" t="e">
        <f>'Sample Weight Measurements'!C12</f>
        <v>#VALUE!</v>
      </c>
      <c r="F12" s="50" t="e">
        <f>'Sample Weight Measurements'!M12</f>
        <v>#VALUE!</v>
      </c>
      <c r="G12" s="1">
        <v>20</v>
      </c>
      <c r="H12" s="51" t="s">
        <v>95</v>
      </c>
      <c r="I12" s="51" t="s">
        <v>95</v>
      </c>
      <c r="J12" s="28" t="e">
        <f>I12/F12</f>
        <v>#VALUE!</v>
      </c>
      <c r="K12" s="1" t="e">
        <f t="shared" si="22"/>
        <v>#VALUE!</v>
      </c>
      <c r="L12" s="33" t="e">
        <f>'Self absorption correction'!J12</f>
        <v>#VALUE!</v>
      </c>
      <c r="M12" s="1" t="e">
        <f t="shared" si="23"/>
        <v>#VALUE!</v>
      </c>
      <c r="N12" s="1" t="e">
        <f t="shared" si="0"/>
        <v>#VALUE!</v>
      </c>
      <c r="O12" s="51" t="s">
        <v>95</v>
      </c>
      <c r="P12" s="1" t="e">
        <f t="shared" si="1"/>
        <v>#VALUE!</v>
      </c>
      <c r="Q12" s="51" t="s">
        <v>95</v>
      </c>
      <c r="R12" s="51" t="s">
        <v>95</v>
      </c>
      <c r="S12" s="1" t="e">
        <f t="shared" si="2"/>
        <v>#VALUE!</v>
      </c>
      <c r="T12" s="51" t="s">
        <v>95</v>
      </c>
      <c r="U12" s="1" t="e">
        <f t="shared" si="20"/>
        <v>#VALUE!</v>
      </c>
      <c r="V12" s="39" t="e">
        <f t="shared" si="3"/>
        <v>#DIV/0!</v>
      </c>
      <c r="W12" s="1" t="e">
        <f t="shared" si="21"/>
        <v>#VALUE!</v>
      </c>
      <c r="Y12" s="1" t="e">
        <f t="shared" si="19"/>
        <v>#VALUE!</v>
      </c>
      <c r="Z12" s="1" t="e">
        <f t="shared" si="10"/>
        <v>#VALUE!</v>
      </c>
      <c r="AA12" s="35" t="e">
        <f t="shared" si="11"/>
        <v>#VALUE!</v>
      </c>
      <c r="AG12" s="37" t="e">
        <f t="shared" si="16"/>
        <v>#VALUE!</v>
      </c>
      <c r="AH12" s="37" t="e">
        <f t="shared" si="12"/>
        <v>#VALUE!</v>
      </c>
      <c r="AI12" s="37" t="e">
        <f t="shared" si="17"/>
        <v>#VALUE!</v>
      </c>
      <c r="AJ12" s="37" t="e">
        <f t="shared" si="13"/>
        <v>#VALUE!</v>
      </c>
      <c r="AK12" s="38" t="e">
        <f t="shared" si="18"/>
        <v>#VALUE!</v>
      </c>
      <c r="AL12" s="38" t="e">
        <f t="shared" si="14"/>
        <v>#VALUE!</v>
      </c>
      <c r="AM12" s="22" t="e">
        <f t="shared" si="15"/>
        <v>#VALUE!</v>
      </c>
      <c r="AN12" s="22" t="e">
        <f t="shared" si="4"/>
        <v>#VALUE!</v>
      </c>
    </row>
    <row r="13" spans="1:40" x14ac:dyDescent="0.25">
      <c r="A13" s="1" t="s">
        <v>45</v>
      </c>
      <c r="B13" t="str">
        <f>'Sample Weight Measurements'!A13</f>
        <v>XXXX</v>
      </c>
      <c r="C13" s="1">
        <v>2019</v>
      </c>
      <c r="D13" s="22" t="str">
        <f>'Sample Weight Measurements'!B13</f>
        <v>X</v>
      </c>
      <c r="E13" s="22" t="e">
        <f>'Sample Weight Measurements'!C13</f>
        <v>#VALUE!</v>
      </c>
      <c r="F13" s="50" t="e">
        <f>'Sample Weight Measurements'!M13</f>
        <v>#VALUE!</v>
      </c>
      <c r="G13" s="1">
        <v>20</v>
      </c>
      <c r="H13" s="51" t="s">
        <v>95</v>
      </c>
      <c r="I13" s="51" t="s">
        <v>95</v>
      </c>
      <c r="J13" s="28" t="e">
        <f t="shared" si="5"/>
        <v>#VALUE!</v>
      </c>
      <c r="K13" s="1" t="e">
        <f t="shared" si="22"/>
        <v>#VALUE!</v>
      </c>
      <c r="L13" s="33" t="e">
        <f>'Self absorption correction'!J13</f>
        <v>#VALUE!</v>
      </c>
      <c r="M13" s="1" t="e">
        <f t="shared" si="23"/>
        <v>#VALUE!</v>
      </c>
      <c r="N13" s="1" t="e">
        <f t="shared" si="0"/>
        <v>#VALUE!</v>
      </c>
      <c r="O13" s="51" t="s">
        <v>95</v>
      </c>
      <c r="P13" s="1" t="e">
        <f t="shared" si="1"/>
        <v>#VALUE!</v>
      </c>
      <c r="Q13" s="51" t="s">
        <v>95</v>
      </c>
      <c r="R13" s="51" t="s">
        <v>95</v>
      </c>
      <c r="S13" s="1" t="e">
        <f t="shared" si="2"/>
        <v>#VALUE!</v>
      </c>
      <c r="T13" s="51" t="s">
        <v>95</v>
      </c>
      <c r="U13" s="1" t="e">
        <f t="shared" si="20"/>
        <v>#VALUE!</v>
      </c>
      <c r="V13" s="39" t="e">
        <f t="shared" si="3"/>
        <v>#DIV/0!</v>
      </c>
      <c r="W13" s="1" t="e">
        <f t="shared" si="21"/>
        <v>#VALUE!</v>
      </c>
      <c r="Y13" s="1" t="e">
        <f t="shared" si="19"/>
        <v>#VALUE!</v>
      </c>
      <c r="Z13" s="1" t="e">
        <f t="shared" si="10"/>
        <v>#VALUE!</v>
      </c>
      <c r="AA13" s="35" t="e">
        <f t="shared" si="11"/>
        <v>#VALUE!</v>
      </c>
      <c r="AG13" s="37" t="e">
        <f t="shared" si="16"/>
        <v>#VALUE!</v>
      </c>
      <c r="AH13" s="37" t="e">
        <f t="shared" si="12"/>
        <v>#VALUE!</v>
      </c>
      <c r="AI13" s="37" t="e">
        <f t="shared" si="17"/>
        <v>#VALUE!</v>
      </c>
      <c r="AJ13" s="37" t="e">
        <f t="shared" si="13"/>
        <v>#VALUE!</v>
      </c>
      <c r="AK13" s="38" t="e">
        <f t="shared" si="18"/>
        <v>#VALUE!</v>
      </c>
      <c r="AL13" s="38" t="e">
        <f t="shared" si="14"/>
        <v>#VALUE!</v>
      </c>
      <c r="AM13" s="22" t="e">
        <f t="shared" si="15"/>
        <v>#VALUE!</v>
      </c>
      <c r="AN13" s="22" t="e">
        <f t="shared" si="4"/>
        <v>#VALUE!</v>
      </c>
    </row>
    <row r="14" spans="1:40" x14ac:dyDescent="0.25">
      <c r="A14" s="1" t="s">
        <v>45</v>
      </c>
      <c r="B14" t="str">
        <f>'Sample Weight Measurements'!A14</f>
        <v>XXXX</v>
      </c>
      <c r="C14" s="1">
        <v>2019</v>
      </c>
      <c r="D14" s="22" t="str">
        <f>'Sample Weight Measurements'!B14</f>
        <v>X</v>
      </c>
      <c r="E14" s="22" t="e">
        <f>'Sample Weight Measurements'!C14</f>
        <v>#VALUE!</v>
      </c>
      <c r="F14" s="50" t="e">
        <f>'Sample Weight Measurements'!M14</f>
        <v>#VALUE!</v>
      </c>
      <c r="G14" s="1">
        <v>20</v>
      </c>
      <c r="H14" s="51" t="s">
        <v>95</v>
      </c>
      <c r="I14" s="51" t="s">
        <v>95</v>
      </c>
      <c r="J14" s="28" t="e">
        <f t="shared" si="5"/>
        <v>#VALUE!</v>
      </c>
      <c r="K14" s="1" t="e">
        <f t="shared" si="22"/>
        <v>#VALUE!</v>
      </c>
      <c r="L14" s="33" t="e">
        <f>'Self absorption correction'!J14</f>
        <v>#VALUE!</v>
      </c>
      <c r="M14" s="1" t="e">
        <f t="shared" si="23"/>
        <v>#VALUE!</v>
      </c>
      <c r="N14" s="1" t="e">
        <f t="shared" si="0"/>
        <v>#VALUE!</v>
      </c>
      <c r="O14" s="51" t="s">
        <v>95</v>
      </c>
      <c r="P14" s="1" t="e">
        <f t="shared" si="1"/>
        <v>#VALUE!</v>
      </c>
      <c r="Q14" s="51" t="s">
        <v>95</v>
      </c>
      <c r="R14" s="51" t="s">
        <v>95</v>
      </c>
      <c r="S14" s="1" t="e">
        <f t="shared" si="2"/>
        <v>#VALUE!</v>
      </c>
      <c r="T14" s="51" t="s">
        <v>95</v>
      </c>
      <c r="U14" s="1" t="e">
        <f t="shared" si="20"/>
        <v>#VALUE!</v>
      </c>
      <c r="V14" s="39" t="e">
        <f t="shared" si="3"/>
        <v>#DIV/0!</v>
      </c>
      <c r="W14" s="1" t="e">
        <f t="shared" si="21"/>
        <v>#VALUE!</v>
      </c>
      <c r="Y14" s="1" t="e">
        <f t="shared" si="19"/>
        <v>#VALUE!</v>
      </c>
      <c r="Z14" s="1" t="e">
        <f t="shared" si="10"/>
        <v>#VALUE!</v>
      </c>
      <c r="AA14" s="35" t="e">
        <f t="shared" si="11"/>
        <v>#VALUE!</v>
      </c>
      <c r="AG14" s="37" t="e">
        <f t="shared" si="16"/>
        <v>#VALUE!</v>
      </c>
      <c r="AH14" s="37" t="e">
        <f t="shared" si="12"/>
        <v>#VALUE!</v>
      </c>
      <c r="AI14" s="37" t="e">
        <f t="shared" si="17"/>
        <v>#VALUE!</v>
      </c>
      <c r="AJ14" s="37" t="e">
        <f t="shared" si="13"/>
        <v>#VALUE!</v>
      </c>
      <c r="AK14" s="38" t="e">
        <f t="shared" si="18"/>
        <v>#VALUE!</v>
      </c>
      <c r="AL14" s="38" t="e">
        <f t="shared" si="14"/>
        <v>#VALUE!</v>
      </c>
      <c r="AM14" s="22" t="e">
        <f t="shared" si="15"/>
        <v>#VALUE!</v>
      </c>
      <c r="AN14" s="22" t="e">
        <f t="shared" si="4"/>
        <v>#VALUE!</v>
      </c>
    </row>
    <row r="15" spans="1:40" x14ac:dyDescent="0.25">
      <c r="A15" s="1" t="s">
        <v>45</v>
      </c>
      <c r="B15" t="str">
        <f>'Sample Weight Measurements'!A15</f>
        <v>XXXX</v>
      </c>
      <c r="C15" s="1">
        <v>2019</v>
      </c>
      <c r="D15" s="22" t="str">
        <f>'Sample Weight Measurements'!B15</f>
        <v>X</v>
      </c>
      <c r="E15" s="22" t="e">
        <f>'Sample Weight Measurements'!C15</f>
        <v>#VALUE!</v>
      </c>
      <c r="F15" s="50" t="e">
        <f>'Sample Weight Measurements'!M15</f>
        <v>#VALUE!</v>
      </c>
      <c r="G15" s="1">
        <v>20</v>
      </c>
      <c r="H15" s="51" t="s">
        <v>95</v>
      </c>
      <c r="I15" s="51" t="s">
        <v>95</v>
      </c>
      <c r="J15" s="28" t="e">
        <f t="shared" si="5"/>
        <v>#VALUE!</v>
      </c>
      <c r="K15" s="1" t="e">
        <f t="shared" si="22"/>
        <v>#VALUE!</v>
      </c>
      <c r="L15" s="33" t="e">
        <f>'Self absorption correction'!J15</f>
        <v>#VALUE!</v>
      </c>
      <c r="M15" s="1" t="e">
        <f t="shared" si="23"/>
        <v>#VALUE!</v>
      </c>
      <c r="N15" s="1" t="e">
        <f t="shared" si="0"/>
        <v>#VALUE!</v>
      </c>
      <c r="O15" s="51" t="s">
        <v>95</v>
      </c>
      <c r="P15" s="1" t="e">
        <f t="shared" si="1"/>
        <v>#VALUE!</v>
      </c>
      <c r="Q15" s="51" t="s">
        <v>95</v>
      </c>
      <c r="R15" s="51" t="s">
        <v>95</v>
      </c>
      <c r="S15" s="1" t="e">
        <f t="shared" si="2"/>
        <v>#VALUE!</v>
      </c>
      <c r="T15" s="51" t="s">
        <v>95</v>
      </c>
      <c r="U15" s="1" t="e">
        <f t="shared" si="20"/>
        <v>#VALUE!</v>
      </c>
      <c r="V15" s="39" t="e">
        <f t="shared" si="3"/>
        <v>#DIV/0!</v>
      </c>
      <c r="W15" s="1" t="e">
        <f t="shared" si="21"/>
        <v>#VALUE!</v>
      </c>
      <c r="Y15" s="1" t="e">
        <f t="shared" si="19"/>
        <v>#VALUE!</v>
      </c>
      <c r="Z15" s="1" t="e">
        <f t="shared" si="10"/>
        <v>#VALUE!</v>
      </c>
      <c r="AA15" s="35" t="e">
        <f t="shared" si="11"/>
        <v>#VALUE!</v>
      </c>
      <c r="AG15" s="37" t="e">
        <f t="shared" si="16"/>
        <v>#VALUE!</v>
      </c>
      <c r="AH15" s="37" t="e">
        <f t="shared" si="12"/>
        <v>#VALUE!</v>
      </c>
      <c r="AI15" s="37" t="e">
        <f t="shared" si="17"/>
        <v>#VALUE!</v>
      </c>
      <c r="AJ15" s="37" t="e">
        <f t="shared" si="13"/>
        <v>#VALUE!</v>
      </c>
      <c r="AK15" s="38" t="e">
        <f t="shared" si="18"/>
        <v>#VALUE!</v>
      </c>
      <c r="AL15" s="38" t="e">
        <f t="shared" si="14"/>
        <v>#VALUE!</v>
      </c>
      <c r="AM15" s="22" t="e">
        <f t="shared" si="15"/>
        <v>#VALUE!</v>
      </c>
      <c r="AN15" s="22" t="e">
        <f t="shared" si="4"/>
        <v>#VALUE!</v>
      </c>
    </row>
    <row r="16" spans="1:40" x14ac:dyDescent="0.25">
      <c r="A16" s="1" t="s">
        <v>45</v>
      </c>
      <c r="B16" t="str">
        <f>'Sample Weight Measurements'!A16</f>
        <v>XXXX</v>
      </c>
      <c r="C16" s="1">
        <v>2019</v>
      </c>
      <c r="D16" s="22" t="str">
        <f>'Sample Weight Measurements'!B16</f>
        <v>X</v>
      </c>
      <c r="E16" s="22" t="e">
        <f>'Sample Weight Measurements'!C16</f>
        <v>#VALUE!</v>
      </c>
      <c r="F16" s="50" t="e">
        <f>'Sample Weight Measurements'!M16</f>
        <v>#VALUE!</v>
      </c>
      <c r="G16" s="1">
        <v>20</v>
      </c>
      <c r="H16" s="51" t="s">
        <v>95</v>
      </c>
      <c r="I16" s="51" t="s">
        <v>95</v>
      </c>
      <c r="J16" s="28" t="e">
        <f t="shared" si="5"/>
        <v>#VALUE!</v>
      </c>
      <c r="K16" s="1" t="e">
        <f t="shared" si="22"/>
        <v>#VALUE!</v>
      </c>
      <c r="L16" s="33" t="e">
        <f>'Self absorption correction'!J16</f>
        <v>#VALUE!</v>
      </c>
      <c r="M16" s="1" t="e">
        <f t="shared" si="23"/>
        <v>#VALUE!</v>
      </c>
      <c r="N16" s="1" t="e">
        <f t="shared" si="0"/>
        <v>#VALUE!</v>
      </c>
      <c r="O16" s="51" t="s">
        <v>95</v>
      </c>
      <c r="P16" s="1" t="e">
        <f t="shared" si="1"/>
        <v>#VALUE!</v>
      </c>
      <c r="Q16" s="51" t="s">
        <v>95</v>
      </c>
      <c r="R16" s="51" t="s">
        <v>95</v>
      </c>
      <c r="S16" s="1" t="e">
        <f t="shared" si="2"/>
        <v>#VALUE!</v>
      </c>
      <c r="T16" s="51" t="s">
        <v>95</v>
      </c>
      <c r="U16" s="1" t="e">
        <f t="shared" si="20"/>
        <v>#VALUE!</v>
      </c>
      <c r="V16" s="39" t="e">
        <f t="shared" si="3"/>
        <v>#DIV/0!</v>
      </c>
      <c r="W16" s="1" t="e">
        <f t="shared" si="21"/>
        <v>#VALUE!</v>
      </c>
      <c r="Y16" s="1" t="e">
        <f t="shared" si="19"/>
        <v>#VALUE!</v>
      </c>
      <c r="Z16" s="1" t="e">
        <f t="shared" si="10"/>
        <v>#VALUE!</v>
      </c>
      <c r="AA16" s="35" t="e">
        <f t="shared" si="11"/>
        <v>#VALUE!</v>
      </c>
      <c r="AG16" s="37" t="e">
        <f t="shared" si="16"/>
        <v>#VALUE!</v>
      </c>
      <c r="AH16" s="37" t="e">
        <f t="shared" si="12"/>
        <v>#VALUE!</v>
      </c>
      <c r="AI16" s="37" t="e">
        <f t="shared" si="17"/>
        <v>#VALUE!</v>
      </c>
      <c r="AJ16" s="37" t="e">
        <f t="shared" si="13"/>
        <v>#VALUE!</v>
      </c>
      <c r="AK16" s="38" t="e">
        <f t="shared" si="18"/>
        <v>#VALUE!</v>
      </c>
      <c r="AL16" s="38" t="e">
        <f t="shared" si="14"/>
        <v>#VALUE!</v>
      </c>
      <c r="AM16" s="22" t="e">
        <f t="shared" si="15"/>
        <v>#VALUE!</v>
      </c>
      <c r="AN16" s="22" t="e">
        <f t="shared" si="4"/>
        <v>#VALUE!</v>
      </c>
    </row>
    <row r="17" spans="1:40" x14ac:dyDescent="0.25">
      <c r="A17" s="41" t="s">
        <v>45</v>
      </c>
      <c r="B17" s="42" t="str">
        <f>'Sample Weight Measurements'!A17</f>
        <v>XXXX</v>
      </c>
      <c r="C17" s="41">
        <v>2019</v>
      </c>
      <c r="D17" s="22" t="str">
        <f>'Sample Weight Measurements'!B17</f>
        <v>X</v>
      </c>
      <c r="E17" s="22" t="e">
        <f>'Sample Weight Measurements'!C17</f>
        <v>#VALUE!</v>
      </c>
      <c r="F17" s="50" t="e">
        <f>'Sample Weight Measurements'!M17</f>
        <v>#VALUE!</v>
      </c>
      <c r="G17" s="1">
        <v>20</v>
      </c>
      <c r="H17" s="51" t="s">
        <v>95</v>
      </c>
      <c r="I17" s="51" t="s">
        <v>95</v>
      </c>
      <c r="J17" s="28" t="e">
        <f t="shared" ref="J17" si="24">I17/F17</f>
        <v>#VALUE!</v>
      </c>
      <c r="K17" s="1" t="e">
        <f t="shared" ref="K17" si="25">H17/F17</f>
        <v>#VALUE!</v>
      </c>
      <c r="L17" s="33" t="e">
        <f>'Self absorption correction'!J17</f>
        <v>#VALUE!</v>
      </c>
      <c r="M17" s="1" t="e">
        <f t="shared" ref="M17" si="26">H17/L17</f>
        <v>#VALUE!</v>
      </c>
      <c r="N17" s="1" t="e">
        <f t="shared" ref="N17" si="27">K17/L17</f>
        <v>#VALUE!</v>
      </c>
      <c r="O17" s="51" t="s">
        <v>95</v>
      </c>
      <c r="P17" s="1" t="e">
        <f t="shared" si="1"/>
        <v>#VALUE!</v>
      </c>
      <c r="Q17" s="51" t="s">
        <v>95</v>
      </c>
      <c r="R17" s="51" t="s">
        <v>95</v>
      </c>
      <c r="S17" s="1" t="e">
        <f t="shared" si="2"/>
        <v>#VALUE!</v>
      </c>
      <c r="T17" s="51" t="s">
        <v>95</v>
      </c>
      <c r="U17" s="1" t="e">
        <f t="shared" si="20"/>
        <v>#VALUE!</v>
      </c>
      <c r="V17" s="39" t="e">
        <f t="shared" si="3"/>
        <v>#DIV/0!</v>
      </c>
      <c r="W17" s="1" t="e">
        <f t="shared" si="21"/>
        <v>#VALUE!</v>
      </c>
      <c r="X17" s="41"/>
      <c r="Y17" s="52" t="e">
        <f t="shared" si="19"/>
        <v>#VALUE!</v>
      </c>
      <c r="Z17" s="52" t="e">
        <f t="shared" si="10"/>
        <v>#VALUE!</v>
      </c>
      <c r="AA17" s="53" t="e">
        <f t="shared" si="11"/>
        <v>#VALUE!</v>
      </c>
      <c r="AB17" s="41"/>
      <c r="AG17" s="37" t="e">
        <f t="shared" si="16"/>
        <v>#VALUE!</v>
      </c>
      <c r="AH17" s="37" t="e">
        <f t="shared" si="12"/>
        <v>#VALUE!</v>
      </c>
      <c r="AI17" s="37" t="e">
        <f t="shared" si="17"/>
        <v>#VALUE!</v>
      </c>
      <c r="AJ17" s="37" t="e">
        <f t="shared" si="13"/>
        <v>#VALUE!</v>
      </c>
      <c r="AK17" s="38" t="e">
        <f t="shared" si="18"/>
        <v>#VALUE!</v>
      </c>
      <c r="AL17" s="38" t="e">
        <f t="shared" si="14"/>
        <v>#VALUE!</v>
      </c>
      <c r="AM17" s="22" t="e">
        <f t="shared" si="15"/>
        <v>#VALUE!</v>
      </c>
      <c r="AN17" s="22" t="e">
        <f t="shared" si="4"/>
        <v>#VALUE!</v>
      </c>
    </row>
    <row r="18" spans="1:40" x14ac:dyDescent="0.25">
      <c r="A18" s="1" t="s">
        <v>45</v>
      </c>
      <c r="B18" t="str">
        <f>'Sample Weight Measurements'!A18</f>
        <v>XXXX</v>
      </c>
      <c r="C18" s="1">
        <v>2019</v>
      </c>
      <c r="D18" s="22" t="str">
        <f>'Sample Weight Measurements'!B18</f>
        <v>X</v>
      </c>
      <c r="E18" s="22" t="e">
        <f>'Sample Weight Measurements'!C18</f>
        <v>#VALUE!</v>
      </c>
      <c r="F18" s="50" t="e">
        <f>'Sample Weight Measurements'!M18</f>
        <v>#VALUE!</v>
      </c>
      <c r="G18" s="1">
        <v>20</v>
      </c>
      <c r="H18" s="51" t="s">
        <v>95</v>
      </c>
      <c r="I18" s="51" t="s">
        <v>95</v>
      </c>
      <c r="J18" s="28" t="e">
        <f t="shared" si="5"/>
        <v>#VALUE!</v>
      </c>
      <c r="K18" s="1" t="e">
        <f t="shared" si="22"/>
        <v>#VALUE!</v>
      </c>
      <c r="L18" s="33" t="e">
        <f>'Self absorption correction'!J18</f>
        <v>#VALUE!</v>
      </c>
      <c r="M18" s="1" t="e">
        <f t="shared" si="23"/>
        <v>#VALUE!</v>
      </c>
      <c r="N18" s="1" t="e">
        <f t="shared" si="0"/>
        <v>#VALUE!</v>
      </c>
      <c r="O18" s="51" t="s">
        <v>95</v>
      </c>
      <c r="P18" s="1" t="e">
        <f t="shared" si="1"/>
        <v>#VALUE!</v>
      </c>
      <c r="Q18" s="51" t="s">
        <v>95</v>
      </c>
      <c r="R18" s="51" t="s">
        <v>95</v>
      </c>
      <c r="S18" s="1" t="e">
        <f t="shared" si="2"/>
        <v>#VALUE!</v>
      </c>
      <c r="T18" s="51" t="s">
        <v>95</v>
      </c>
      <c r="U18" s="1" t="e">
        <f t="shared" si="20"/>
        <v>#VALUE!</v>
      </c>
      <c r="V18" s="39" t="e">
        <f t="shared" si="3"/>
        <v>#DIV/0!</v>
      </c>
      <c r="W18" s="1" t="e">
        <f t="shared" si="21"/>
        <v>#VALUE!</v>
      </c>
      <c r="Y18" s="1" t="e">
        <f>Y16</f>
        <v>#VALUE!</v>
      </c>
      <c r="Z18" s="1" t="e">
        <f t="shared" si="10"/>
        <v>#VALUE!</v>
      </c>
      <c r="AA18" s="35" t="e">
        <f t="shared" si="11"/>
        <v>#VALUE!</v>
      </c>
      <c r="AG18" s="37" t="e">
        <f t="shared" si="16"/>
        <v>#VALUE!</v>
      </c>
      <c r="AH18" s="37" t="e">
        <f t="shared" si="12"/>
        <v>#VALUE!</v>
      </c>
      <c r="AI18" s="37" t="e">
        <f t="shared" si="17"/>
        <v>#VALUE!</v>
      </c>
      <c r="AJ18" s="37" t="e">
        <f t="shared" si="13"/>
        <v>#VALUE!</v>
      </c>
      <c r="AK18" s="38" t="e">
        <f t="shared" si="18"/>
        <v>#VALUE!</v>
      </c>
      <c r="AL18" s="38" t="e">
        <f t="shared" si="14"/>
        <v>#VALUE!</v>
      </c>
      <c r="AM18" s="22" t="e">
        <f t="shared" si="15"/>
        <v>#VALUE!</v>
      </c>
      <c r="AN18" s="22" t="e">
        <f t="shared" si="4"/>
        <v>#VALUE!</v>
      </c>
    </row>
    <row r="19" spans="1:40" x14ac:dyDescent="0.25">
      <c r="A19" s="1" t="s">
        <v>45</v>
      </c>
      <c r="B19" t="str">
        <f>'Sample Weight Measurements'!A19</f>
        <v>XXXX</v>
      </c>
      <c r="C19" s="1">
        <v>2019</v>
      </c>
      <c r="D19" s="22" t="str">
        <f>'Sample Weight Measurements'!B19</f>
        <v>X</v>
      </c>
      <c r="E19" s="22" t="e">
        <f>'Sample Weight Measurements'!C19</f>
        <v>#VALUE!</v>
      </c>
      <c r="F19" s="50" t="e">
        <f>'Sample Weight Measurements'!M19</f>
        <v>#VALUE!</v>
      </c>
      <c r="G19" s="1">
        <v>20</v>
      </c>
      <c r="H19" s="51" t="s">
        <v>95</v>
      </c>
      <c r="I19" s="51" t="s">
        <v>95</v>
      </c>
      <c r="J19" s="28" t="e">
        <f t="shared" si="5"/>
        <v>#VALUE!</v>
      </c>
      <c r="K19" s="1" t="e">
        <f t="shared" si="22"/>
        <v>#VALUE!</v>
      </c>
      <c r="L19" s="33" t="e">
        <f>'Self absorption correction'!J19</f>
        <v>#VALUE!</v>
      </c>
      <c r="M19" s="1" t="e">
        <f t="shared" si="23"/>
        <v>#VALUE!</v>
      </c>
      <c r="N19" s="1" t="e">
        <f t="shared" si="0"/>
        <v>#VALUE!</v>
      </c>
      <c r="O19" s="51" t="s">
        <v>95</v>
      </c>
      <c r="P19" s="1" t="e">
        <f t="shared" si="1"/>
        <v>#VALUE!</v>
      </c>
      <c r="Q19" s="51" t="s">
        <v>95</v>
      </c>
      <c r="R19" s="51" t="s">
        <v>95</v>
      </c>
      <c r="S19" s="1" t="e">
        <f t="shared" si="2"/>
        <v>#VALUE!</v>
      </c>
      <c r="T19" s="51" t="s">
        <v>95</v>
      </c>
      <c r="U19" s="1" t="e">
        <f t="shared" si="20"/>
        <v>#VALUE!</v>
      </c>
      <c r="V19" s="39" t="e">
        <f t="shared" si="3"/>
        <v>#DIV/0!</v>
      </c>
      <c r="W19" s="1" t="e">
        <f>N19-U19</f>
        <v>#VALUE!</v>
      </c>
      <c r="Y19" s="1" t="e">
        <f t="shared" si="19"/>
        <v>#VALUE!</v>
      </c>
      <c r="Z19" s="1" t="e">
        <f t="shared" si="10"/>
        <v>#VALUE!</v>
      </c>
      <c r="AA19" s="35" t="e">
        <f t="shared" si="11"/>
        <v>#VALUE!</v>
      </c>
      <c r="AG19" s="37" t="e">
        <f t="shared" si="16"/>
        <v>#VALUE!</v>
      </c>
      <c r="AH19" s="37" t="e">
        <f t="shared" si="12"/>
        <v>#VALUE!</v>
      </c>
      <c r="AI19" s="37" t="e">
        <f t="shared" si="17"/>
        <v>#VALUE!</v>
      </c>
      <c r="AJ19" s="37" t="e">
        <f t="shared" si="13"/>
        <v>#VALUE!</v>
      </c>
      <c r="AK19" s="38" t="e">
        <f t="shared" si="18"/>
        <v>#VALUE!</v>
      </c>
      <c r="AL19" s="38" t="e">
        <f t="shared" si="14"/>
        <v>#VALUE!</v>
      </c>
      <c r="AM19" s="22" t="e">
        <f t="shared" si="15"/>
        <v>#VALUE!</v>
      </c>
      <c r="AN19" s="22" t="e">
        <f t="shared" si="4"/>
        <v>#VALUE!</v>
      </c>
    </row>
    <row r="20" spans="1:40" x14ac:dyDescent="0.25">
      <c r="D20" s="22"/>
      <c r="E20" s="22"/>
      <c r="L20" s="20"/>
      <c r="M20" s="30"/>
      <c r="O20" s="30"/>
    </row>
    <row r="21" spans="1:40" x14ac:dyDescent="0.25">
      <c r="D21" s="18"/>
      <c r="L21" s="20"/>
    </row>
    <row r="22" spans="1:40" x14ac:dyDescent="0.25">
      <c r="D22" s="18"/>
      <c r="L22" s="20"/>
      <c r="M22" s="28"/>
      <c r="N22" s="28"/>
      <c r="O22" s="28"/>
      <c r="R22" s="3"/>
    </row>
    <row r="23" spans="1:40" x14ac:dyDescent="0.25">
      <c r="D23" s="18"/>
      <c r="L23" s="20"/>
      <c r="R23" s="3"/>
    </row>
    <row r="24" spans="1:40" x14ac:dyDescent="0.25">
      <c r="D24" s="18"/>
      <c r="L24" s="20"/>
      <c r="R24" s="3"/>
    </row>
    <row r="25" spans="1:40" x14ac:dyDescent="0.25">
      <c r="D25" s="18"/>
      <c r="L25" s="20"/>
      <c r="R25" s="3"/>
    </row>
    <row r="26" spans="1:40" x14ac:dyDescent="0.25">
      <c r="D26" s="18"/>
      <c r="L26" s="20"/>
    </row>
    <row r="27" spans="1:40" x14ac:dyDescent="0.25">
      <c r="D27" s="18"/>
      <c r="L27" s="20"/>
    </row>
    <row r="28" spans="1:40" x14ac:dyDescent="0.25">
      <c r="D28" s="18"/>
      <c r="L28" s="28"/>
      <c r="M28" s="28"/>
      <c r="V28"/>
    </row>
    <row r="29" spans="1:40" x14ac:dyDescent="0.25">
      <c r="D29" s="18"/>
      <c r="L29" s="20"/>
      <c r="R29" s="1">
        <v>1.2537352875678816</v>
      </c>
      <c r="S29" s="1">
        <v>0</v>
      </c>
      <c r="T29" s="1">
        <f>22.3*S29</f>
        <v>0</v>
      </c>
    </row>
    <row r="30" spans="1:40" x14ac:dyDescent="0.25">
      <c r="D30" s="18"/>
      <c r="L30" s="20"/>
      <c r="R30" s="1">
        <f>R29/2</f>
        <v>0.62686764378394078</v>
      </c>
      <c r="S30" s="1">
        <v>1</v>
      </c>
      <c r="T30" s="1">
        <f t="shared" ref="T30:T35" si="28">22.3*S30</f>
        <v>22.3</v>
      </c>
      <c r="V30" s="1" t="s">
        <v>80</v>
      </c>
    </row>
    <row r="31" spans="1:40" x14ac:dyDescent="0.25">
      <c r="D31" s="18"/>
      <c r="L31" s="20"/>
      <c r="R31" s="1">
        <f>R30/2</f>
        <v>0.31343382189197039</v>
      </c>
      <c r="S31" s="1">
        <v>2</v>
      </c>
      <c r="T31" s="1">
        <f t="shared" si="28"/>
        <v>44.6</v>
      </c>
      <c r="V31" s="1">
        <v>0.106033556646094</v>
      </c>
    </row>
    <row r="32" spans="1:40" x14ac:dyDescent="0.25">
      <c r="D32" s="18"/>
      <c r="L32" s="20"/>
      <c r="R32" s="1">
        <f t="shared" ref="R32:R35" si="29">R31/2</f>
        <v>0.15671691094598519</v>
      </c>
      <c r="S32" s="1">
        <v>3</v>
      </c>
      <c r="T32" s="1">
        <f t="shared" si="28"/>
        <v>66.900000000000006</v>
      </c>
      <c r="V32" s="1">
        <f>V31/1.2537</f>
        <v>8.4576498880189838E-2</v>
      </c>
    </row>
    <row r="33" spans="4:22" x14ac:dyDescent="0.25">
      <c r="D33" s="18"/>
      <c r="R33" s="1">
        <f t="shared" si="29"/>
        <v>7.8358455472992597E-2</v>
      </c>
      <c r="S33" s="1">
        <v>4</v>
      </c>
      <c r="T33" s="1">
        <f t="shared" si="28"/>
        <v>89.2</v>
      </c>
      <c r="V33" s="1">
        <f>LN(V32)</f>
        <v>-2.4700988419753349</v>
      </c>
    </row>
    <row r="34" spans="4:22" x14ac:dyDescent="0.25">
      <c r="D34" s="18"/>
      <c r="R34" s="1">
        <f t="shared" si="29"/>
        <v>3.9179227736496298E-2</v>
      </c>
      <c r="S34" s="1">
        <v>5</v>
      </c>
      <c r="T34" s="1">
        <f t="shared" si="28"/>
        <v>111.5</v>
      </c>
      <c r="V34" s="1">
        <f>V33/(-0.031)</f>
        <v>79.680607805655967</v>
      </c>
    </row>
    <row r="35" spans="4:22" x14ac:dyDescent="0.25">
      <c r="D35" s="18"/>
      <c r="R35" s="1">
        <f t="shared" si="29"/>
        <v>1.9589613868248149E-2</v>
      </c>
      <c r="S35" s="1">
        <v>6</v>
      </c>
      <c r="T35" s="1">
        <f t="shared" si="28"/>
        <v>133.80000000000001</v>
      </c>
    </row>
    <row r="36" spans="4:22" x14ac:dyDescent="0.25">
      <c r="D36" s="18"/>
    </row>
    <row r="37" spans="4:22" ht="18.75" x14ac:dyDescent="0.25">
      <c r="D37" s="18"/>
      <c r="R37" s="31"/>
    </row>
    <row r="38" spans="4:22" ht="18.75" x14ac:dyDescent="0.25">
      <c r="D38" s="18"/>
      <c r="R38" s="31"/>
    </row>
    <row r="39" spans="4:22" x14ac:dyDescent="0.25">
      <c r="D39" s="18"/>
    </row>
    <row r="40" spans="4:22" x14ac:dyDescent="0.25">
      <c r="D40" s="18"/>
    </row>
    <row r="41" spans="4:22" x14ac:dyDescent="0.25">
      <c r="D41" s="18"/>
    </row>
    <row r="42" spans="4:22" x14ac:dyDescent="0.25">
      <c r="D42" s="18"/>
    </row>
    <row r="43" spans="4:22" x14ac:dyDescent="0.25">
      <c r="D43" s="18"/>
    </row>
    <row r="44" spans="4:22" x14ac:dyDescent="0.25">
      <c r="D44" s="18"/>
    </row>
  </sheetData>
  <mergeCells count="4">
    <mergeCell ref="O1:U1"/>
    <mergeCell ref="A1:E1"/>
    <mergeCell ref="H1:K1"/>
    <mergeCell ref="L1:N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8305F3151DB4FAB329E8A554D5F61" ma:contentTypeVersion="13" ma:contentTypeDescription="Create a new document." ma:contentTypeScope="" ma:versionID="1ee1dba7dc63bdf428828455d2d644e1">
  <xsd:schema xmlns:xsd="http://www.w3.org/2001/XMLSchema" xmlns:xs="http://www.w3.org/2001/XMLSchema" xmlns:p="http://schemas.microsoft.com/office/2006/metadata/properties" xmlns:ns3="72ef6dce-e6e8-45af-a218-3a2d656dacd7" xmlns:ns4="a82fde31-7c4a-4ce9-9766-85cc00969e07" targetNamespace="http://schemas.microsoft.com/office/2006/metadata/properties" ma:root="true" ma:fieldsID="5625c668d041bd9e3ad60d28a81a1bc9" ns3:_="" ns4:_="">
    <xsd:import namespace="72ef6dce-e6e8-45af-a218-3a2d656dacd7"/>
    <xsd:import namespace="a82fde31-7c4a-4ce9-9766-85cc00969e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f6dce-e6e8-45af-a218-3a2d656da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fde31-7c4a-4ce9-9766-85cc00969e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89205F-2D79-473F-BF20-F5B4508DD8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170AAB-6AB0-45AA-A63D-877F7219A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f6dce-e6e8-45af-a218-3a2d656dacd7"/>
    <ds:schemaRef ds:uri="a82fde31-7c4a-4ce9-9766-85cc00969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5FD25F-4F7B-424B-B348-6FDF08E0D6BA}">
  <ds:schemaRefs>
    <ds:schemaRef ds:uri="a82fde31-7c4a-4ce9-9766-85cc00969e07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72ef6dce-e6e8-45af-a218-3a2d656dacd7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 Details</vt:lpstr>
      <vt:lpstr>Sample Weight Measurements</vt:lpstr>
      <vt:lpstr>Point source runs</vt:lpstr>
      <vt:lpstr>Self absorption correction</vt:lpstr>
      <vt:lpstr>Excess Pb-210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Clark</dc:creator>
  <cp:lastModifiedBy>Lehrmann, Asmara A</cp:lastModifiedBy>
  <dcterms:created xsi:type="dcterms:W3CDTF">2019-05-01T17:43:51Z</dcterms:created>
  <dcterms:modified xsi:type="dcterms:W3CDTF">2025-11-24T18:20:50Z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0x010100CB88305F3151DB4FAB329E8A554D5F61</vt:lpwstr>
  </property>
</Properties>
</file>